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akh\Desktop\Investment_Dashboard\"/>
    </mc:Choice>
  </mc:AlternateContent>
  <xr:revisionPtr revIDLastSave="0" documentId="13_ncr:1_{AEDEDC01-8DFF-4C90-A7FE-282D395F4892}" xr6:coauthVersionLast="47" xr6:coauthVersionMax="47" xr10:uidLastSave="{00000000-0000-0000-0000-000000000000}"/>
  <bookViews>
    <workbookView xWindow="-108" yWindow="-108" windowWidth="23256" windowHeight="12456" activeTab="3" xr2:uid="{1E820D78-CA40-41D1-B596-F20698EACF90}"/>
  </bookViews>
  <sheets>
    <sheet name="Investment_raw_data" sheetId="1" r:id="rId1"/>
    <sheet name="Region_Bar" sheetId="2" r:id="rId2"/>
    <sheet name="Monthly_Line" sheetId="3" r:id="rId3"/>
    <sheet name="Dashboard" sheetId="10" r:id="rId4"/>
  </sheets>
  <definedNames>
    <definedName name="NativeTimeline_Dat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<sst xmlns="http://schemas.openxmlformats.org/spreadsheetml/2006/main" count="126" uniqueCount="23">
  <si>
    <t>Date</t>
  </si>
  <si>
    <t>Region</t>
  </si>
  <si>
    <t>SIP_Amt</t>
  </si>
  <si>
    <t>Lumpsum_Amt</t>
  </si>
  <si>
    <t>North</t>
  </si>
  <si>
    <t>Central</t>
  </si>
  <si>
    <t>South</t>
  </si>
  <si>
    <t>Row Labels</t>
  </si>
  <si>
    <t>Grand Total</t>
  </si>
  <si>
    <t>Jan</t>
  </si>
  <si>
    <t>Feb</t>
  </si>
  <si>
    <t>Mar</t>
  </si>
  <si>
    <t>Apr</t>
  </si>
  <si>
    <t>May</t>
  </si>
  <si>
    <t>Jun</t>
  </si>
  <si>
    <t>Jul</t>
  </si>
  <si>
    <t>Aug</t>
  </si>
  <si>
    <t>Sep</t>
  </si>
  <si>
    <t>Oct</t>
  </si>
  <si>
    <t>Nov</t>
  </si>
  <si>
    <t>Dec</t>
  </si>
  <si>
    <t>Total SIP</t>
  </si>
  <si>
    <t>Total Lumpsum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</si>
</sst>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[MIS_Dashboard_Project.xlsx]Region_Bar!PivotTable1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Region_Bar!$B$3</c:f>
              <c:strCache>
                <c:ptCount val="1"/>
                <c:pt idx="0">
                  <c:v>Total SIP</c:v>
                </c:pt>
              </c:strCache>
            </c:strRef>
          </c:tx>
          <c:spPr>
            <a:solidFill>
              <a:schemeClr val="accent1"/>
            </a:solidFill>
            <a:ln>
              <a:noFill/>
            </a:ln>
            <a:effectLst/>
          </c:spPr>
          <c:invertIfNegative val="0"/>
          <c:cat>
            <c:strRef>
              <c:f>Region_Bar!$A$4:$A$7</c:f>
              <c:strCache>
                <c:ptCount val="3"/>
                <c:pt idx="0">
                  <c:v>Central</c:v>
                </c:pt>
                <c:pt idx="1">
                  <c:v>North</c:v>
                </c:pt>
                <c:pt idx="2">
                  <c:v>South</c:v>
                </c:pt>
              </c:strCache>
            </c:strRef>
          </c:cat>
          <c:val>
            <c:numRef>
              <c:f>Region_Bar!$B$4:$B$7</c:f>
              <c:numCache>
                <c:formatCode>General</c:formatCode>
                <c:ptCount val="3"/>
                <c:pt idx="0">
                  <c:v>180103</c:v>
                </c:pt>
                <c:pt idx="1">
                  <c:v>234541</c:v>
                </c:pt>
                <c:pt idx="2">
                  <c:v>187680</c:v>
                </c:pt>
              </c:numCache>
            </c:numRef>
          </c:val>
          <c:extLst>
            <c:ext xmlns:c16="http://schemas.microsoft.com/office/drawing/2014/chart" uri="{C3380CC4-5D6E-409C-BE32-E72D297353CC}">
              <c16:uniqueId val="{00000000-E195-403A-B408-0660EC474C77}"/>
            </c:ext>
          </c:extLst>
        </c:ser>
        <c:ser>
          <c:idx val="1"/>
          <c:order val="1"/>
          <c:tx>
            <c:strRef>
              <c:f>Region_Bar!$C$3</c:f>
              <c:strCache>
                <c:ptCount val="1"/>
                <c:pt idx="0">
                  <c:v>Total Lumpsum</c:v>
                </c:pt>
              </c:strCache>
            </c:strRef>
          </c:tx>
          <c:spPr>
            <a:solidFill>
              <a:schemeClr val="accent2"/>
            </a:solidFill>
            <a:ln>
              <a:noFill/>
            </a:ln>
            <a:effectLst/>
          </c:spPr>
          <c:invertIfNegative val="0"/>
          <c:cat>
            <c:strRef>
              <c:f>Region_Bar!$A$4:$A$7</c:f>
              <c:strCache>
                <c:ptCount val="3"/>
                <c:pt idx="0">
                  <c:v>Central</c:v>
                </c:pt>
                <c:pt idx="1">
                  <c:v>North</c:v>
                </c:pt>
                <c:pt idx="2">
                  <c:v>South</c:v>
                </c:pt>
              </c:strCache>
            </c:strRef>
          </c:cat>
          <c:val>
            <c:numRef>
              <c:f>Region_Bar!$C$4:$C$7</c:f>
              <c:numCache>
                <c:formatCode>General</c:formatCode>
                <c:ptCount val="3"/>
                <c:pt idx="0">
                  <c:v>891154</c:v>
                </c:pt>
                <c:pt idx="1">
                  <c:v>1113717</c:v>
                </c:pt>
                <c:pt idx="2">
                  <c:v>755825</c:v>
                </c:pt>
              </c:numCache>
            </c:numRef>
          </c:val>
          <c:extLst>
            <c:ext xmlns:c16="http://schemas.microsoft.com/office/drawing/2014/chart" uri="{C3380CC4-5D6E-409C-BE32-E72D297353CC}">
              <c16:uniqueId val="{00000001-E195-403A-B408-0660EC474C77}"/>
            </c:ext>
          </c:extLst>
        </c:ser>
        <c:dLbls>
          <c:showLegendKey val="0"/>
          <c:showVal val="0"/>
          <c:showCatName val="0"/>
          <c:showSerName val="0"/>
          <c:showPercent val="0"/>
          <c:showBubbleSize val="0"/>
        </c:dLbls>
        <c:gapWidth val="182"/>
        <c:axId val="687773232"/>
        <c:axId val="863137728"/>
      </c:barChart>
      <c:catAx>
        <c:axId val="68777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37728"/>
        <c:crosses val="autoZero"/>
        <c:auto val="1"/>
        <c:lblAlgn val="ctr"/>
        <c:lblOffset val="100"/>
        <c:noMultiLvlLbl val="0"/>
      </c:catAx>
      <c:valAx>
        <c:axId val="86313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[MIS_Dashboard_Project.xlsx]Monthly_Line!PivotTable2</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Monthly_Line!$B$3</c:f>
              <c:strCache>
                <c:ptCount val="1"/>
                <c:pt idx="0">
                  <c:v>Total SIP</c:v>
                </c:pt>
              </c:strCache>
            </c:strRef>
          </c:tx>
          <c:spPr>
            <a:ln w="28575" cap="rnd">
              <a:solidFill>
                <a:schemeClr val="accent1"/>
              </a:solidFill>
              <a:round/>
            </a:ln>
            <a:effectLst/>
          </c:spPr>
          <c:marker>
            <c:symbol val="none"/>
          </c:marker>
          <c:cat>
            <c:strRef>
              <c:f>Monthly_Line!$A$4:$A$16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Monthly_Line!$B$4:$B$16</c:f>
              <c:numCache>
                <c:formatCode>General</c:formatCode>
                <c:ptCount val="12"/>
                <c:pt idx="0">
                  <c:v>70234</c:v>
                </c:pt>
                <c:pt idx="1">
                  <c:v>72419</c:v>
                </c:pt>
                <c:pt idx="2">
                  <c:v>84005</c:v>
                </c:pt>
                <c:pt idx="3">
                  <c:v>86288</c:v>
                </c:pt>
                <c:pt idx="4">
                  <c:v>28102</c:v>
                </c:pt>
                <c:pt idx="5">
                  <c:v>38496</c:v>
                </c:pt>
                <c:pt idx="6">
                  <c:v>44008</c:v>
                </c:pt>
                <c:pt idx="7">
                  <c:v>17299</c:v>
                </c:pt>
                <c:pt idx="8">
                  <c:v>17219</c:v>
                </c:pt>
                <c:pt idx="9">
                  <c:v>69078</c:v>
                </c:pt>
                <c:pt idx="10">
                  <c:v>30723</c:v>
                </c:pt>
                <c:pt idx="11">
                  <c:v>44453</c:v>
                </c:pt>
              </c:numCache>
            </c:numRef>
          </c:val>
          <c:smooth val="0"/>
          <c:extLst>
            <c:ext xmlns:c16="http://schemas.microsoft.com/office/drawing/2014/chart" uri="{C3380CC4-5D6E-409C-BE32-E72D297353CC}">
              <c16:uniqueId val="{00000000-FECE-4B8C-B2A9-7C34EB0C6E96}"/>
            </c:ext>
          </c:extLst>
        </c:ser>
        <c:ser>
          <c:idx val="1"/>
          <c:order val="1"/>
          <c:tx>
            <c:strRef>
              <c:f>Monthly_Line!$C$3</c:f>
              <c:strCache>
                <c:ptCount val="1"/>
                <c:pt idx="0">
                  <c:v>Total Lumpsum</c:v>
                </c:pt>
              </c:strCache>
            </c:strRef>
          </c:tx>
          <c:spPr>
            <a:ln w="28575" cap="rnd">
              <a:solidFill>
                <a:schemeClr val="accent2"/>
              </a:solidFill>
              <a:round/>
            </a:ln>
            <a:effectLst/>
          </c:spPr>
          <c:marker>
            <c:symbol val="none"/>
          </c:marker>
          <c:cat>
            <c:strRef>
              <c:f>Monthly_Line!$A$4:$A$16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Monthly_Line!$C$4:$C$16</c:f>
              <c:numCache>
                <c:formatCode>General</c:formatCode>
                <c:ptCount val="12"/>
                <c:pt idx="0">
                  <c:v>418409</c:v>
                </c:pt>
                <c:pt idx="1">
                  <c:v>316325</c:v>
                </c:pt>
                <c:pt idx="2">
                  <c:v>517521</c:v>
                </c:pt>
                <c:pt idx="3">
                  <c:v>309701</c:v>
                </c:pt>
                <c:pt idx="4">
                  <c:v>102441</c:v>
                </c:pt>
                <c:pt idx="5">
                  <c:v>137994</c:v>
                </c:pt>
                <c:pt idx="6">
                  <c:v>152815</c:v>
                </c:pt>
                <c:pt idx="7">
                  <c:v>94618</c:v>
                </c:pt>
                <c:pt idx="8">
                  <c:v>90468</c:v>
                </c:pt>
                <c:pt idx="9">
                  <c:v>238108</c:v>
                </c:pt>
                <c:pt idx="10">
                  <c:v>116730</c:v>
                </c:pt>
                <c:pt idx="11">
                  <c:v>265566</c:v>
                </c:pt>
              </c:numCache>
            </c:numRef>
          </c:val>
          <c:smooth val="0"/>
          <c:extLst>
            <c:ext xmlns:c16="http://schemas.microsoft.com/office/drawing/2014/chart" uri="{C3380CC4-5D6E-409C-BE32-E72D297353CC}">
              <c16:uniqueId val="{00000001-FECE-4B8C-B2A9-7C34EB0C6E96}"/>
            </c:ext>
          </c:extLst>
        </c:ser>
        <c:dLbls>
          <c:showLegendKey val="0"/>
          <c:showVal val="0"/>
          <c:showCatName val="0"/>
          <c:showSerName val="0"/>
          <c:showPercent val="0"/>
          <c:showBubbleSize val="0"/>
        </c:dLbls>
        <c:smooth val="0"/>
        <c:axId val="863302992"/>
        <c:axId val="863305392"/>
      </c:lineChart>
      <c:catAx>
        <c:axId val="8633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05392"/>
        <c:crosses val="autoZero"/>
        <c:auto val="1"/>
        <c:lblAlgn val="ctr"/>
        <c:lblOffset val="100"/>
        <c:noMultiLvlLbl val="0"/>
      </c:catAx>
      <c:valAx>
        <c:axId val="86330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0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[MIS_Dashboard_Project.xlsx]Monthly_Line!PivotTable2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Monthly_Line!$B$3</c:f>
              <c:strCache>
                <c:ptCount val="1"/>
                <c:pt idx="0">
                  <c:v>Total SIP</c:v>
                </c:pt>
              </c:strCache>
            </c:strRef>
          </c:tx>
          <c:spPr>
            <a:ln w="28575" cap="rnd">
              <a:solidFill>
                <a:schemeClr val="accent1"/>
              </a:solidFill>
              <a:round/>
            </a:ln>
            <a:effectLst/>
          </c:spPr>
          <c:marker>
            <c:symbol val="none"/>
          </c:marker>
          <c:cat>
            <c:strRef>
              <c:f>Monthly_Line!$A$4:$A$16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Monthly_Line!$B$4:$B$16</c:f>
              <c:numCache>
                <c:formatCode>General</c:formatCode>
                <c:ptCount val="12"/>
                <c:pt idx="0">
                  <c:v>70234</c:v>
                </c:pt>
                <c:pt idx="1">
                  <c:v>72419</c:v>
                </c:pt>
                <c:pt idx="2">
                  <c:v>84005</c:v>
                </c:pt>
                <c:pt idx="3">
                  <c:v>86288</c:v>
                </c:pt>
                <c:pt idx="4">
                  <c:v>28102</c:v>
                </c:pt>
                <c:pt idx="5">
                  <c:v>38496</c:v>
                </c:pt>
                <c:pt idx="6">
                  <c:v>44008</c:v>
                </c:pt>
                <c:pt idx="7">
                  <c:v>17299</c:v>
                </c:pt>
                <c:pt idx="8">
                  <c:v>17219</c:v>
                </c:pt>
                <c:pt idx="9">
                  <c:v>69078</c:v>
                </c:pt>
                <c:pt idx="10">
                  <c:v>30723</c:v>
                </c:pt>
                <c:pt idx="11">
                  <c:v>44453</c:v>
                </c:pt>
              </c:numCache>
            </c:numRef>
          </c:val>
          <c:smooth val="0"/>
          <c:extLst>
            <c:ext xmlns:c16="http://schemas.microsoft.com/office/drawing/2014/chart" uri="{C3380CC4-5D6E-409C-BE32-E72D297353CC}">
              <c16:uniqueId val="{00000000-9048-4236-9897-AC5D5442CC98}"/>
            </c:ext>
          </c:extLst>
        </c:ser>
        <c:ser>
          <c:idx val="1"/>
          <c:order val="1"/>
          <c:tx>
            <c:strRef>
              <c:f>Monthly_Line!$C$3</c:f>
              <c:strCache>
                <c:ptCount val="1"/>
                <c:pt idx="0">
                  <c:v>Total Lumpsum</c:v>
                </c:pt>
              </c:strCache>
            </c:strRef>
          </c:tx>
          <c:spPr>
            <a:ln w="28575" cap="rnd">
              <a:solidFill>
                <a:schemeClr val="accent2"/>
              </a:solidFill>
              <a:round/>
            </a:ln>
            <a:effectLst/>
          </c:spPr>
          <c:marker>
            <c:symbol val="none"/>
          </c:marker>
          <c:cat>
            <c:strRef>
              <c:f>Monthly_Line!$A$4:$A$16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Monthly_Line!$C$4:$C$16</c:f>
              <c:numCache>
                <c:formatCode>General</c:formatCode>
                <c:ptCount val="12"/>
                <c:pt idx="0">
                  <c:v>418409</c:v>
                </c:pt>
                <c:pt idx="1">
                  <c:v>316325</c:v>
                </c:pt>
                <c:pt idx="2">
                  <c:v>517521</c:v>
                </c:pt>
                <c:pt idx="3">
                  <c:v>309701</c:v>
                </c:pt>
                <c:pt idx="4">
                  <c:v>102441</c:v>
                </c:pt>
                <c:pt idx="5">
                  <c:v>137994</c:v>
                </c:pt>
                <c:pt idx="6">
                  <c:v>152815</c:v>
                </c:pt>
                <c:pt idx="7">
                  <c:v>94618</c:v>
                </c:pt>
                <c:pt idx="8">
                  <c:v>90468</c:v>
                </c:pt>
                <c:pt idx="9">
                  <c:v>238108</c:v>
                </c:pt>
                <c:pt idx="10">
                  <c:v>116730</c:v>
                </c:pt>
                <c:pt idx="11">
                  <c:v>265566</c:v>
                </c:pt>
              </c:numCache>
            </c:numRef>
          </c:val>
          <c:smooth val="0"/>
          <c:extLst>
            <c:ext xmlns:c16="http://schemas.microsoft.com/office/drawing/2014/chart" uri="{C3380CC4-5D6E-409C-BE32-E72D297353CC}">
              <c16:uniqueId val="{00000001-9048-4236-9897-AC5D5442CC98}"/>
            </c:ext>
          </c:extLst>
        </c:ser>
        <c:dLbls>
          <c:showLegendKey val="0"/>
          <c:showVal val="0"/>
          <c:showCatName val="0"/>
          <c:showSerName val="0"/>
          <c:showPercent val="0"/>
          <c:showBubbleSize val="0"/>
        </c:dLbls>
        <c:smooth val="0"/>
        <c:axId val="863302992"/>
        <c:axId val="863305392"/>
      </c:lineChart>
      <c:catAx>
        <c:axId val="8633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05392"/>
        <c:crosses val="autoZero"/>
        <c:auto val="1"/>
        <c:lblAlgn val="ctr"/>
        <c:lblOffset val="100"/>
        <c:noMultiLvlLbl val="0"/>
      </c:catAx>
      <c:valAx>
        <c:axId val="86330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0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[MIS_Dashboard_Project.xlsx]Region_Bar!PivotTable1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INVESTMENT PERFORMANCE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Region_Bar!$B$3</c:f>
              <c:strCache>
                <c:ptCount val="1"/>
                <c:pt idx="0">
                  <c:v>Total SIP</c:v>
                </c:pt>
              </c:strCache>
            </c:strRef>
          </c:tx>
          <c:spPr>
            <a:solidFill>
              <a:schemeClr val="accent1"/>
            </a:solidFill>
            <a:ln>
              <a:noFill/>
            </a:ln>
            <a:effectLst/>
          </c:spPr>
          <c:invertIfNegative val="0"/>
          <c:cat>
            <c:strRef>
              <c:f>Region_Bar!$A$4:$A$7</c:f>
              <c:strCache>
                <c:ptCount val="3"/>
                <c:pt idx="0">
                  <c:v>Central</c:v>
                </c:pt>
                <c:pt idx="1">
                  <c:v>North</c:v>
                </c:pt>
                <c:pt idx="2">
                  <c:v>South</c:v>
                </c:pt>
              </c:strCache>
            </c:strRef>
          </c:cat>
          <c:val>
            <c:numRef>
              <c:f>Region_Bar!$B$4:$B$7</c:f>
              <c:numCache>
                <c:formatCode>General</c:formatCode>
                <c:ptCount val="3"/>
                <c:pt idx="0">
                  <c:v>180103</c:v>
                </c:pt>
                <c:pt idx="1">
                  <c:v>234541</c:v>
                </c:pt>
                <c:pt idx="2">
                  <c:v>187680</c:v>
                </c:pt>
              </c:numCache>
            </c:numRef>
          </c:val>
          <c:extLst>
            <c:ext xmlns:c16="http://schemas.microsoft.com/office/drawing/2014/chart" uri="{C3380CC4-5D6E-409C-BE32-E72D297353CC}">
              <c16:uniqueId val="{00000000-6101-4BEE-AD1E-32BB6C359C56}"/>
            </c:ext>
          </c:extLst>
        </c:ser>
        <c:ser>
          <c:idx val="1"/>
          <c:order val="1"/>
          <c:tx>
            <c:strRef>
              <c:f>Region_Bar!$C$3</c:f>
              <c:strCache>
                <c:ptCount val="1"/>
                <c:pt idx="0">
                  <c:v>Total Lumpsum</c:v>
                </c:pt>
              </c:strCache>
            </c:strRef>
          </c:tx>
          <c:spPr>
            <a:solidFill>
              <a:schemeClr val="accent2"/>
            </a:solidFill>
            <a:ln>
              <a:noFill/>
            </a:ln>
            <a:effectLst/>
          </c:spPr>
          <c:invertIfNegative val="0"/>
          <c:cat>
            <c:strRef>
              <c:f>Region_Bar!$A$4:$A$7</c:f>
              <c:strCache>
                <c:ptCount val="3"/>
                <c:pt idx="0">
                  <c:v>Central</c:v>
                </c:pt>
                <c:pt idx="1">
                  <c:v>North</c:v>
                </c:pt>
                <c:pt idx="2">
                  <c:v>South</c:v>
                </c:pt>
              </c:strCache>
            </c:strRef>
          </c:cat>
          <c:val>
            <c:numRef>
              <c:f>Region_Bar!$C$4:$C$7</c:f>
              <c:numCache>
                <c:formatCode>General</c:formatCode>
                <c:ptCount val="3"/>
                <c:pt idx="0">
                  <c:v>891154</c:v>
                </c:pt>
                <c:pt idx="1">
                  <c:v>1113717</c:v>
                </c:pt>
                <c:pt idx="2">
                  <c:v>755825</c:v>
                </c:pt>
              </c:numCache>
            </c:numRef>
          </c:val>
          <c:extLst>
            <c:ext xmlns:c16="http://schemas.microsoft.com/office/drawing/2014/chart" uri="{C3380CC4-5D6E-409C-BE32-E72D297353CC}">
              <c16:uniqueId val="{00000001-6101-4BEE-AD1E-32BB6C359C56}"/>
            </c:ext>
          </c:extLst>
        </c:ser>
        <c:dLbls>
          <c:showLegendKey val="0"/>
          <c:showVal val="0"/>
          <c:showCatName val="0"/>
          <c:showSerName val="0"/>
          <c:showPercent val="0"/>
          <c:showBubbleSize val="0"/>
        </c:dLbls>
        <c:gapWidth val="182"/>
        <c:axId val="687773232"/>
        <c:axId val="863137728"/>
      </c:barChart>
      <c:catAx>
        <c:axId val="68777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37728"/>
        <c:crosses val="autoZero"/>
        <c:auto val="1"/>
        <c:lblAlgn val="ctr"/>
        <c:lblOffset val="100"/>
        <c:noMultiLvlLbl val="0"/>
      </c:catAx>
      <c:valAx>
        <c:axId val="86313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4803149606299213" l="0.70866141732283461" r="0.70866141732283461" t="0.74803149606299213" header="0.31496062992125984" footer="0.31496062992125984"/>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82959</xdr:colOff>
      <xdr:row>1</xdr:row>
      <xdr:rowOff>63294</xdr:rowOff>
    </xdr:from>
    <xdr:to>
      <xdr:col>10</xdr:col>
      <xdr:colOff>396362</xdr:colOff>
      <xdr:row>16</xdr:row>
      <xdr:rowOff>41172</xdr:rowOff>
    </xdr:to>
    <xdr:graphicFrame macro="">
      <xdr:nvGraphicFramePr>
        <xdr:cNvPr id="3" name="Chart 2">
          <a:extLst>
            <a:ext uri="{FF2B5EF4-FFF2-40B4-BE49-F238E27FC236}">
              <a16:creationId xmlns:a16="http://schemas.microsoft.com/office/drawing/2014/main" id="{ED297B6F-7880-A072-3E66-ED36E972E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1</xdr:row>
      <xdr:rowOff>95250</xdr:rowOff>
    </xdr:from>
    <xdr:to>
      <xdr:col>11</xdr:col>
      <xdr:colOff>327660</xdr:colOff>
      <xdr:row>16</xdr:row>
      <xdr:rowOff>95250</xdr:rowOff>
    </xdr:to>
    <xdr:graphicFrame macro="">
      <xdr:nvGraphicFramePr>
        <xdr:cNvPr id="2" name="Chart 1">
          <a:extLst>
            <a:ext uri="{FF2B5EF4-FFF2-40B4-BE49-F238E27FC236}">
              <a16:creationId xmlns:a16="http://schemas.microsoft.com/office/drawing/2014/main" id="{F0D50E7E-D548-E510-C13A-1F6B45FBF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58426</xdr:colOff>
      <xdr:row>11</xdr:row>
      <xdr:rowOff>52105</xdr:rowOff>
    </xdr:from>
    <xdr:to>
      <xdr:col>16</xdr:col>
      <xdr:colOff>259079</xdr:colOff>
      <xdr:row>26</xdr:row>
      <xdr:rowOff>174871</xdr:rowOff>
    </xdr:to>
    <xdr:graphicFrame macro="">
      <xdr:nvGraphicFramePr>
        <xdr:cNvPr id="2" name="Chart 1">
          <a:extLst>
            <a:ext uri="{FF2B5EF4-FFF2-40B4-BE49-F238E27FC236}">
              <a16:creationId xmlns:a16="http://schemas.microsoft.com/office/drawing/2014/main" id="{077F9CF6-631B-4E5A-9C38-16B426D40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181609</xdr:colOff>
      <xdr:row>11</xdr:row>
      <xdr:rowOff>55690</xdr:rowOff>
    </xdr:from>
    <xdr:to>
      <xdr:col>8</xdr:col>
      <xdr:colOff>482002</xdr:colOff>
      <xdr:row>26</xdr:row>
      <xdr:rowOff>169990</xdr:rowOff>
    </xdr:to>
    <xdr:graphicFrame macro="">
      <xdr:nvGraphicFramePr>
        <xdr:cNvPr id="3" name="Chart 2">
          <a:extLst>
            <a:ext uri="{FF2B5EF4-FFF2-40B4-BE49-F238E27FC236}">
              <a16:creationId xmlns:a16="http://schemas.microsoft.com/office/drawing/2014/main" id="{382612F5-E2B7-4E3A-B4FF-2FA89A718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32559</xdr:rowOff>
    </xdr:from>
    <xdr:to>
      <xdr:col>2</xdr:col>
      <xdr:colOff>428164</xdr:colOff>
      <xdr:row>10</xdr:row>
      <xdr:rowOff>32498</xdr:rowOff>
    </xdr:to>
    <xdr:sp macro="" textlink="">
      <xdr:nvSpPr>
        <xdr:cNvPr id="4" name="Rectangle: Rounded Corners 3">
          <a:extLst>
            <a:ext uri="{FF2B5EF4-FFF2-40B4-BE49-F238E27FC236}">
              <a16:creationId xmlns:a16="http://schemas.microsoft.com/office/drawing/2014/main" id="{56D76B7D-A2A1-4A2F-ABF8-ED319911C2A7}"/>
            </a:ext>
          </a:extLst>
        </xdr:cNvPr>
        <xdr:cNvSpPr/>
      </xdr:nvSpPr>
      <xdr:spPr>
        <a:xfrm>
          <a:off x="0" y="946959"/>
          <a:ext cx="1647364" cy="914339"/>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    TOTAL INVESTMENT</a:t>
          </a:r>
          <a:r>
            <a:rPr lang="en-IN" sz="1100" b="1" baseline="0">
              <a:solidFill>
                <a:schemeClr val="bg1"/>
              </a:solidFill>
            </a:rPr>
            <a:t>     </a:t>
          </a:r>
        </a:p>
        <a:p>
          <a:pPr algn="l"/>
          <a:r>
            <a:rPr lang="en-IN" sz="1100" b="1" i="0" u="none" strike="noStrike" baseline="0">
              <a:solidFill>
                <a:schemeClr val="bg1"/>
              </a:solidFill>
              <a:effectLst/>
              <a:latin typeface="+mn-lt"/>
              <a:ea typeface="+mn-ea"/>
              <a:cs typeface="+mn-cs"/>
            </a:rPr>
            <a:t>            </a:t>
          </a:r>
        </a:p>
        <a:p>
          <a:pPr algn="l"/>
          <a:r>
            <a:rPr lang="en-IN" sz="1100" b="1" i="0" u="none" strike="noStrike" baseline="0">
              <a:solidFill>
                <a:schemeClr val="bg1"/>
              </a:solidFill>
              <a:effectLst/>
              <a:latin typeface="+mn-lt"/>
              <a:ea typeface="+mn-ea"/>
              <a:cs typeface="+mn-cs"/>
            </a:rPr>
            <a:t>        ₹ </a:t>
          </a:r>
          <a:r>
            <a:rPr lang="en-IN" sz="1100" b="1" i="0" u="none" strike="noStrike">
              <a:solidFill>
                <a:schemeClr val="bg1"/>
              </a:solidFill>
              <a:effectLst/>
              <a:latin typeface="+mn-lt"/>
              <a:ea typeface="+mn-ea"/>
              <a:cs typeface="+mn-cs"/>
            </a:rPr>
            <a:t>33,63,020</a:t>
          </a:r>
          <a:r>
            <a:rPr lang="en-IN" b="1">
              <a:solidFill>
                <a:schemeClr val="bg1"/>
              </a:solidFill>
              <a:effectLst/>
            </a:rPr>
            <a:t> </a:t>
          </a:r>
          <a:endParaRPr lang="en-IN" sz="1100" b="1">
            <a:solidFill>
              <a:schemeClr val="bg1"/>
            </a:solidFill>
          </a:endParaRPr>
        </a:p>
      </xdr:txBody>
    </xdr:sp>
    <xdr:clientData/>
  </xdr:twoCellAnchor>
  <xdr:twoCellAnchor>
    <xdr:from>
      <xdr:col>2</xdr:col>
      <xdr:colOff>581181</xdr:colOff>
      <xdr:row>4</xdr:row>
      <xdr:rowOff>176268</xdr:rowOff>
    </xdr:from>
    <xdr:to>
      <xdr:col>5</xdr:col>
      <xdr:colOff>391088</xdr:colOff>
      <xdr:row>10</xdr:row>
      <xdr:rowOff>22398</xdr:rowOff>
    </xdr:to>
    <xdr:sp macro="" textlink="">
      <xdr:nvSpPr>
        <xdr:cNvPr id="5" name="Rectangle: Rounded Corners 4">
          <a:extLst>
            <a:ext uri="{FF2B5EF4-FFF2-40B4-BE49-F238E27FC236}">
              <a16:creationId xmlns:a16="http://schemas.microsoft.com/office/drawing/2014/main" id="{F7A129FC-CC62-4A73-BC2D-2538613A126D}"/>
            </a:ext>
          </a:extLst>
        </xdr:cNvPr>
        <xdr:cNvSpPr/>
      </xdr:nvSpPr>
      <xdr:spPr>
        <a:xfrm>
          <a:off x="1800381" y="907788"/>
          <a:ext cx="1638707" cy="943410"/>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bg1"/>
              </a:solidFill>
            </a:rPr>
            <a:t>    </a:t>
          </a:r>
          <a:r>
            <a:rPr lang="en-IN" sz="1100" b="1">
              <a:solidFill>
                <a:schemeClr val="bg1"/>
              </a:solidFill>
            </a:rPr>
            <a:t>TOTAL SIP</a:t>
          </a:r>
          <a:r>
            <a:rPr lang="en-IN" sz="1100" b="1" baseline="0">
              <a:solidFill>
                <a:schemeClr val="bg1"/>
              </a:solidFill>
            </a:rPr>
            <a:t> AMOUNT</a:t>
          </a:r>
        </a:p>
        <a:p>
          <a:pPr algn="l"/>
          <a:r>
            <a:rPr lang="en-IN" sz="1100" b="1" baseline="0">
              <a:solidFill>
                <a:schemeClr val="bg1"/>
              </a:solidFill>
            </a:rPr>
            <a:t>        </a:t>
          </a:r>
        </a:p>
        <a:p>
          <a:pPr algn="l"/>
          <a:r>
            <a:rPr lang="en-IN" sz="1100" b="1" baseline="0">
              <a:solidFill>
                <a:schemeClr val="bg1"/>
              </a:solidFill>
            </a:rPr>
            <a:t>          ₹ </a:t>
          </a:r>
          <a:r>
            <a:rPr lang="en-IN" sz="1100" b="1" i="0" u="none" strike="noStrike">
              <a:solidFill>
                <a:schemeClr val="bg1"/>
              </a:solidFill>
              <a:effectLst/>
              <a:latin typeface="+mn-lt"/>
              <a:ea typeface="+mn-ea"/>
              <a:cs typeface="+mn-cs"/>
            </a:rPr>
            <a:t>6,02,324</a:t>
          </a:r>
          <a:r>
            <a:rPr lang="en-IN" b="1">
              <a:solidFill>
                <a:schemeClr val="bg1"/>
              </a:solidFill>
              <a:effectLst/>
            </a:rPr>
            <a:t> </a:t>
          </a:r>
          <a:endParaRPr lang="en-IN" sz="1100" b="1" baseline="0">
            <a:solidFill>
              <a:schemeClr val="bg1"/>
            </a:solidFill>
          </a:endParaRPr>
        </a:p>
        <a:p>
          <a:pPr algn="l"/>
          <a:endParaRPr lang="en-IN" sz="1100" baseline="0">
            <a:solidFill>
              <a:schemeClr val="bg1"/>
            </a:solidFill>
          </a:endParaRPr>
        </a:p>
      </xdr:txBody>
    </xdr:sp>
    <xdr:clientData/>
  </xdr:twoCellAnchor>
  <xdr:twoCellAnchor>
    <xdr:from>
      <xdr:col>5</xdr:col>
      <xdr:colOff>577900</xdr:colOff>
      <xdr:row>4</xdr:row>
      <xdr:rowOff>178739</xdr:rowOff>
    </xdr:from>
    <xdr:to>
      <xdr:col>8</xdr:col>
      <xdr:colOff>381379</xdr:colOff>
      <xdr:row>10</xdr:row>
      <xdr:rowOff>57418</xdr:rowOff>
    </xdr:to>
    <xdr:sp macro="" textlink="">
      <xdr:nvSpPr>
        <xdr:cNvPr id="6" name="Rectangle: Rounded Corners 5">
          <a:extLst>
            <a:ext uri="{FF2B5EF4-FFF2-40B4-BE49-F238E27FC236}">
              <a16:creationId xmlns:a16="http://schemas.microsoft.com/office/drawing/2014/main" id="{42F34163-322D-48AC-9F8F-4C04944D978F}"/>
            </a:ext>
          </a:extLst>
        </xdr:cNvPr>
        <xdr:cNvSpPr/>
      </xdr:nvSpPr>
      <xdr:spPr>
        <a:xfrm>
          <a:off x="3625900" y="910259"/>
          <a:ext cx="1632279" cy="975959"/>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    TOTAL LUMPSUM</a:t>
          </a:r>
        </a:p>
        <a:p>
          <a:pPr algn="l"/>
          <a:r>
            <a:rPr lang="en-IN" sz="1100" b="1" baseline="0">
              <a:solidFill>
                <a:schemeClr val="bg1"/>
              </a:solidFill>
            </a:rPr>
            <a:t>           AMOUNT</a:t>
          </a:r>
        </a:p>
        <a:p>
          <a:pPr algn="l"/>
          <a:r>
            <a:rPr lang="en-IN" sz="1100" b="1" baseline="0">
              <a:solidFill>
                <a:schemeClr val="bg1"/>
              </a:solidFill>
            </a:rPr>
            <a:t>     </a:t>
          </a:r>
        </a:p>
        <a:p>
          <a:pPr algn="l"/>
          <a:r>
            <a:rPr lang="en-IN" sz="1100" b="1" baseline="0">
              <a:solidFill>
                <a:schemeClr val="bg1"/>
              </a:solidFill>
            </a:rPr>
            <a:t>         ₹ </a:t>
          </a:r>
          <a:r>
            <a:rPr lang="en-IN" sz="1100" b="1" i="0" u="none" strike="noStrike">
              <a:solidFill>
                <a:schemeClr val="bg1"/>
              </a:solidFill>
              <a:effectLst/>
              <a:latin typeface="+mn-lt"/>
              <a:ea typeface="+mn-ea"/>
              <a:cs typeface="+mn-cs"/>
            </a:rPr>
            <a:t>27,60,696</a:t>
          </a:r>
          <a:r>
            <a:rPr lang="en-IN" b="1">
              <a:solidFill>
                <a:schemeClr val="bg1"/>
              </a:solidFill>
              <a:effectLst/>
            </a:rPr>
            <a:t>  </a:t>
          </a:r>
          <a:endParaRPr lang="en-IN" sz="1100" b="1" baseline="0">
            <a:solidFill>
              <a:schemeClr val="bg1"/>
            </a:solidFill>
          </a:endParaRPr>
        </a:p>
        <a:p>
          <a:pPr algn="l"/>
          <a:endParaRPr lang="en-IN" sz="1100" baseline="0">
            <a:solidFill>
              <a:schemeClr val="bg1"/>
            </a:solidFill>
          </a:endParaRPr>
        </a:p>
      </xdr:txBody>
    </xdr:sp>
    <xdr:clientData/>
  </xdr:twoCellAnchor>
  <xdr:twoCellAnchor>
    <xdr:from>
      <xdr:col>8</xdr:col>
      <xdr:colOff>569782</xdr:colOff>
      <xdr:row>4</xdr:row>
      <xdr:rowOff>176975</xdr:rowOff>
    </xdr:from>
    <xdr:to>
      <xdr:col>11</xdr:col>
      <xdr:colOff>379613</xdr:colOff>
      <xdr:row>10</xdr:row>
      <xdr:rowOff>55654</xdr:rowOff>
    </xdr:to>
    <xdr:sp macro="" textlink="">
      <xdr:nvSpPr>
        <xdr:cNvPr id="7" name="Rectangle: Rounded Corners 6">
          <a:extLst>
            <a:ext uri="{FF2B5EF4-FFF2-40B4-BE49-F238E27FC236}">
              <a16:creationId xmlns:a16="http://schemas.microsoft.com/office/drawing/2014/main" id="{3E7FB178-3D17-45F8-B64E-ED9EF1DFF557}"/>
            </a:ext>
          </a:extLst>
        </xdr:cNvPr>
        <xdr:cNvSpPr/>
      </xdr:nvSpPr>
      <xdr:spPr>
        <a:xfrm>
          <a:off x="5446582" y="908495"/>
          <a:ext cx="1638631" cy="975959"/>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    TOP</a:t>
          </a:r>
          <a:r>
            <a:rPr lang="en-IN" sz="1100" b="1" baseline="0">
              <a:solidFill>
                <a:schemeClr val="bg1"/>
              </a:solidFill>
            </a:rPr>
            <a:t> INVESTMENT</a:t>
          </a:r>
          <a:endParaRPr lang="en-IN" sz="1100" b="1">
            <a:solidFill>
              <a:schemeClr val="bg1"/>
            </a:solidFill>
          </a:endParaRPr>
        </a:p>
        <a:p>
          <a:pPr algn="l"/>
          <a:r>
            <a:rPr lang="en-IN" sz="1100" b="1" baseline="0">
              <a:solidFill>
                <a:schemeClr val="bg1"/>
              </a:solidFill>
            </a:rPr>
            <a:t>           REGION</a:t>
          </a:r>
        </a:p>
        <a:p>
          <a:pPr algn="l"/>
          <a:r>
            <a:rPr lang="en-IN" sz="1100" b="1" baseline="0">
              <a:solidFill>
                <a:schemeClr val="bg1"/>
              </a:solidFill>
            </a:rPr>
            <a:t>     </a:t>
          </a:r>
        </a:p>
        <a:p>
          <a:pPr algn="l"/>
          <a:r>
            <a:rPr lang="en-IN" sz="1100" b="1" baseline="0">
              <a:solidFill>
                <a:schemeClr val="bg1"/>
              </a:solidFill>
            </a:rPr>
            <a:t>            NORTH</a:t>
          </a:r>
        </a:p>
        <a:p>
          <a:pPr algn="l"/>
          <a:endParaRPr lang="en-IN" sz="1100" b="1" baseline="0">
            <a:solidFill>
              <a:schemeClr val="bg1"/>
            </a:solidFill>
          </a:endParaRPr>
        </a:p>
        <a:p>
          <a:pPr algn="l"/>
          <a:endParaRPr lang="en-IN" sz="1100" baseline="0">
            <a:solidFill>
              <a:schemeClr val="bg1"/>
            </a:solidFill>
          </a:endParaRPr>
        </a:p>
      </xdr:txBody>
    </xdr:sp>
    <xdr:clientData/>
  </xdr:twoCellAnchor>
  <xdr:twoCellAnchor>
    <xdr:from>
      <xdr:col>11</xdr:col>
      <xdr:colOff>561500</xdr:colOff>
      <xdr:row>5</xdr:row>
      <xdr:rowOff>535</xdr:rowOff>
    </xdr:from>
    <xdr:to>
      <xdr:col>14</xdr:col>
      <xdr:colOff>371332</xdr:colOff>
      <xdr:row>10</xdr:row>
      <xdr:rowOff>67866</xdr:rowOff>
    </xdr:to>
    <xdr:sp macro="" textlink="">
      <xdr:nvSpPr>
        <xdr:cNvPr id="8" name="Rectangle: Rounded Corners 7">
          <a:extLst>
            <a:ext uri="{FF2B5EF4-FFF2-40B4-BE49-F238E27FC236}">
              <a16:creationId xmlns:a16="http://schemas.microsoft.com/office/drawing/2014/main" id="{A5F52261-032C-4497-80FD-28D0D189E7FA}"/>
            </a:ext>
          </a:extLst>
        </xdr:cNvPr>
        <xdr:cNvSpPr/>
      </xdr:nvSpPr>
      <xdr:spPr>
        <a:xfrm>
          <a:off x="7267100" y="914935"/>
          <a:ext cx="1638632" cy="981731"/>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bg1"/>
              </a:solidFill>
            </a:rPr>
            <a:t>    </a:t>
          </a:r>
          <a:r>
            <a:rPr lang="en-IN" sz="1100" b="1">
              <a:solidFill>
                <a:schemeClr val="bg1"/>
              </a:solidFill>
            </a:rPr>
            <a:t>AVG</a:t>
          </a:r>
          <a:r>
            <a:rPr lang="en-IN" sz="1100" b="1" baseline="0">
              <a:solidFill>
                <a:schemeClr val="bg1"/>
              </a:solidFill>
            </a:rPr>
            <a:t> MONTHLY SIP </a:t>
          </a:r>
        </a:p>
        <a:p>
          <a:pPr algn="l"/>
          <a:endParaRPr lang="en-IN" sz="1100" b="1" baseline="0">
            <a:solidFill>
              <a:schemeClr val="bg1"/>
            </a:solidFill>
          </a:endParaRPr>
        </a:p>
        <a:p>
          <a:pPr algn="l"/>
          <a:r>
            <a:rPr lang="en-IN" sz="1100" b="1" baseline="0">
              <a:solidFill>
                <a:schemeClr val="bg1"/>
              </a:solidFill>
            </a:rPr>
            <a:t>            ₹ </a:t>
          </a:r>
          <a:r>
            <a:rPr lang="en-IN" sz="1100" b="1" i="0" u="none" strike="noStrike">
              <a:solidFill>
                <a:schemeClr val="bg1"/>
              </a:solidFill>
              <a:effectLst/>
              <a:latin typeface="+mn-lt"/>
              <a:ea typeface="+mn-ea"/>
              <a:cs typeface="+mn-cs"/>
            </a:rPr>
            <a:t>50,194</a:t>
          </a:r>
          <a:r>
            <a:rPr lang="en-IN" b="1">
              <a:solidFill>
                <a:schemeClr val="bg1"/>
              </a:solidFill>
              <a:effectLst/>
            </a:rPr>
            <a:t> </a:t>
          </a:r>
          <a:endParaRPr lang="en-IN" sz="1100" b="1" baseline="0">
            <a:solidFill>
              <a:schemeClr val="bg1"/>
            </a:solidFill>
          </a:endParaRPr>
        </a:p>
        <a:p>
          <a:pPr algn="l"/>
          <a:endParaRPr lang="en-IN" sz="1100" baseline="0">
            <a:solidFill>
              <a:schemeClr val="bg1"/>
            </a:solidFill>
          </a:endParaRPr>
        </a:p>
      </xdr:txBody>
    </xdr:sp>
    <xdr:clientData/>
  </xdr:twoCellAnchor>
  <xdr:twoCellAnchor>
    <xdr:from>
      <xdr:col>14</xdr:col>
      <xdr:colOff>526951</xdr:colOff>
      <xdr:row>5</xdr:row>
      <xdr:rowOff>1973</xdr:rowOff>
    </xdr:from>
    <xdr:to>
      <xdr:col>17</xdr:col>
      <xdr:colOff>336782</xdr:colOff>
      <xdr:row>10</xdr:row>
      <xdr:rowOff>69304</xdr:rowOff>
    </xdr:to>
    <xdr:sp macro="" textlink="">
      <xdr:nvSpPr>
        <xdr:cNvPr id="9" name="Rectangle: Rounded Corners 8">
          <a:extLst>
            <a:ext uri="{FF2B5EF4-FFF2-40B4-BE49-F238E27FC236}">
              <a16:creationId xmlns:a16="http://schemas.microsoft.com/office/drawing/2014/main" id="{880E451A-8134-4A51-9FAB-60F26418B80F}"/>
            </a:ext>
          </a:extLst>
        </xdr:cNvPr>
        <xdr:cNvSpPr/>
      </xdr:nvSpPr>
      <xdr:spPr>
        <a:xfrm>
          <a:off x="9061351" y="916373"/>
          <a:ext cx="1638631" cy="981731"/>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bg1"/>
              </a:solidFill>
            </a:rPr>
            <a:t>      </a:t>
          </a:r>
          <a:r>
            <a:rPr lang="en-IN" sz="1100" b="1">
              <a:solidFill>
                <a:schemeClr val="bg1"/>
              </a:solidFill>
            </a:rPr>
            <a:t>AVG</a:t>
          </a:r>
          <a:r>
            <a:rPr lang="en-IN" sz="1100" b="1" baseline="0">
              <a:solidFill>
                <a:schemeClr val="bg1"/>
              </a:solidFill>
            </a:rPr>
            <a:t> MONTHLY  </a:t>
          </a:r>
        </a:p>
        <a:p>
          <a:pPr algn="l"/>
          <a:r>
            <a:rPr lang="en-IN" sz="1100" b="1" baseline="0">
              <a:solidFill>
                <a:schemeClr val="bg1"/>
              </a:solidFill>
            </a:rPr>
            <a:t>          LUMPSUM  </a:t>
          </a:r>
        </a:p>
        <a:p>
          <a:pPr algn="l"/>
          <a:endParaRPr lang="en-IN" sz="1100" b="1" baseline="0">
            <a:solidFill>
              <a:schemeClr val="bg1"/>
            </a:solidFill>
          </a:endParaRPr>
        </a:p>
        <a:p>
          <a:pPr algn="l"/>
          <a:r>
            <a:rPr lang="en-IN" sz="1100" b="1" baseline="0">
              <a:solidFill>
                <a:schemeClr val="bg1"/>
              </a:solidFill>
            </a:rPr>
            <a:t>           ₹ </a:t>
          </a:r>
          <a:r>
            <a:rPr lang="en-IN" sz="1100" b="1" i="0" u="none" strike="noStrike">
              <a:solidFill>
                <a:schemeClr val="bg1"/>
              </a:solidFill>
              <a:effectLst/>
              <a:latin typeface="+mn-lt"/>
              <a:ea typeface="+mn-ea"/>
              <a:cs typeface="+mn-cs"/>
            </a:rPr>
            <a:t>2,30,058</a:t>
          </a:r>
          <a:r>
            <a:rPr lang="en-IN" b="1">
              <a:solidFill>
                <a:schemeClr val="bg1"/>
              </a:solidFill>
              <a:effectLst/>
            </a:rPr>
            <a:t>  </a:t>
          </a:r>
          <a:endParaRPr lang="en-IN" sz="1100" b="1" baseline="0">
            <a:solidFill>
              <a:schemeClr val="bg1"/>
            </a:solidFill>
          </a:endParaRPr>
        </a:p>
        <a:p>
          <a:pPr algn="l"/>
          <a:endParaRPr lang="en-IN" sz="1100" baseline="0">
            <a:solidFill>
              <a:schemeClr val="bg1"/>
            </a:solidFill>
          </a:endParaRPr>
        </a:p>
      </xdr:txBody>
    </xdr:sp>
    <xdr:clientData/>
  </xdr:twoCellAnchor>
  <xdr:twoCellAnchor editAs="oneCell">
    <xdr:from>
      <xdr:col>6</xdr:col>
      <xdr:colOff>120329</xdr:colOff>
      <xdr:row>28</xdr:row>
      <xdr:rowOff>27511</xdr:rowOff>
    </xdr:from>
    <xdr:to>
      <xdr:col>8</xdr:col>
      <xdr:colOff>530747</xdr:colOff>
      <xdr:row>34</xdr:row>
      <xdr:rowOff>114399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EE78D5B3-DDDA-4053-8BFB-446C6911A7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792919" y="5274068"/>
              <a:ext cx="1634615" cy="121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137209</xdr:colOff>
      <xdr:row>28</xdr:row>
      <xdr:rowOff>41995</xdr:rowOff>
    </xdr:from>
    <xdr:to>
      <xdr:col>11</xdr:col>
      <xdr:colOff>538628</xdr:colOff>
      <xdr:row>34</xdr:row>
      <xdr:rowOff>107834</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CE12B676-7484-4456-BF6C-4EAB9582E02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646094" y="5288552"/>
              <a:ext cx="1625616" cy="1190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17</xdr:col>
      <xdr:colOff>330776</xdr:colOff>
      <xdr:row>4</xdr:row>
      <xdr:rowOff>30480</xdr:rowOff>
    </xdr:to>
    <xdr:sp macro="" textlink="">
      <xdr:nvSpPr>
        <xdr:cNvPr id="12" name="Rectangle 11">
          <a:extLst>
            <a:ext uri="{FF2B5EF4-FFF2-40B4-BE49-F238E27FC236}">
              <a16:creationId xmlns:a16="http://schemas.microsoft.com/office/drawing/2014/main" id="{2C6BBA4C-27DC-43ED-A213-E97AEE4C05E7}"/>
            </a:ext>
          </a:extLst>
        </xdr:cNvPr>
        <xdr:cNvSpPr/>
      </xdr:nvSpPr>
      <xdr:spPr>
        <a:xfrm>
          <a:off x="0" y="0"/>
          <a:ext cx="10693976" cy="762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bg1"/>
            </a:solidFill>
          </a:endParaRPr>
        </a:p>
        <a:p>
          <a:pPr algn="l"/>
          <a:r>
            <a:rPr lang="en-IN" sz="2000" b="1">
              <a:solidFill>
                <a:schemeClr val="bg1"/>
              </a:solidFill>
            </a:rPr>
            <a:t>INVESTMENT</a:t>
          </a:r>
          <a:r>
            <a:rPr lang="en-IN" sz="2000" b="1" baseline="0">
              <a:solidFill>
                <a:schemeClr val="bg1"/>
              </a:solidFill>
            </a:rPr>
            <a:t> PERFORMANCE DASHBOARD</a:t>
          </a:r>
          <a:endParaRPr lang="en-IN" sz="2000" b="1">
            <a:solidFill>
              <a:schemeClr val="bg1"/>
            </a:solidFill>
          </a:endParaRPr>
        </a:p>
      </xdr:txBody>
    </xdr:sp>
    <xdr:clientData/>
  </xdr:twoCellAnchor>
  <xdr:twoCellAnchor>
    <xdr:from>
      <xdr:col>12</xdr:col>
      <xdr:colOff>115494</xdr:colOff>
      <xdr:row>28</xdr:row>
      <xdr:rowOff>110720</xdr:rowOff>
    </xdr:from>
    <xdr:to>
      <xdr:col>16</xdr:col>
      <xdr:colOff>270077</xdr:colOff>
      <xdr:row>32</xdr:row>
      <xdr:rowOff>57875</xdr:rowOff>
    </xdr:to>
    <xdr:sp macro="" textlink="">
      <xdr:nvSpPr>
        <xdr:cNvPr id="13" name="Rectangle 12">
          <a:extLst>
            <a:ext uri="{FF2B5EF4-FFF2-40B4-BE49-F238E27FC236}">
              <a16:creationId xmlns:a16="http://schemas.microsoft.com/office/drawing/2014/main" id="{B159843E-55CC-4052-83AE-3BD3130983CF}"/>
            </a:ext>
          </a:extLst>
        </xdr:cNvPr>
        <xdr:cNvSpPr/>
      </xdr:nvSpPr>
      <xdr:spPr>
        <a:xfrm>
          <a:off x="7407545" y="5242163"/>
          <a:ext cx="2585266" cy="68021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NORTH</a:t>
          </a:r>
          <a:r>
            <a:rPr lang="en-IN" sz="1200" b="1" baseline="0"/>
            <a:t> Region has the highest investment contribution for both SIP and Lumpsum.</a:t>
          </a:r>
        </a:p>
      </xdr:txBody>
    </xdr:sp>
    <xdr:clientData/>
  </xdr:twoCellAnchor>
  <xdr:twoCellAnchor>
    <xdr:from>
      <xdr:col>12</xdr:col>
      <xdr:colOff>123210</xdr:colOff>
      <xdr:row>32</xdr:row>
      <xdr:rowOff>118437</xdr:rowOff>
    </xdr:from>
    <xdr:to>
      <xdr:col>16</xdr:col>
      <xdr:colOff>277793</xdr:colOff>
      <xdr:row>35</xdr:row>
      <xdr:rowOff>77164</xdr:rowOff>
    </xdr:to>
    <xdr:sp macro="" textlink="">
      <xdr:nvSpPr>
        <xdr:cNvPr id="14" name="Rectangle 13">
          <a:extLst>
            <a:ext uri="{FF2B5EF4-FFF2-40B4-BE49-F238E27FC236}">
              <a16:creationId xmlns:a16="http://schemas.microsoft.com/office/drawing/2014/main" id="{F5C32485-5688-4209-B308-B868BFDAA406}"/>
            </a:ext>
          </a:extLst>
        </xdr:cNvPr>
        <xdr:cNvSpPr/>
      </xdr:nvSpPr>
      <xdr:spPr>
        <a:xfrm>
          <a:off x="7415261" y="5982943"/>
          <a:ext cx="2585266" cy="5085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Lumpsum investments show higher volatility compared to SIP</a:t>
          </a:r>
        </a:p>
        <a:p>
          <a:pPr algn="l"/>
          <a:endParaRPr lang="en-IN" sz="1200" b="1"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kha Fobbin" refreshedDate="46141.785578703704" createdVersion="8" refreshedVersion="8" minRefreshableVersion="3" recordCount="99" xr:uid="{5A726653-549E-42D0-98CE-6D7DBFE969E0}">
  <cacheSource type="worksheet">
    <worksheetSource ref="A1:D100" sheet="Investment_raw_data"/>
  </cacheSource>
  <cacheFields count="5">
    <cacheField name="Date" numFmtId="14">
      <sharedItems containsSemiMixedTypes="0" containsNonDate="0" containsDate="1" containsString="0" minDate="2025-01-09T00:00:00" maxDate="2026-04-30T00:00:00" count="90">
        <d v="2025-01-21T00:00:00"/>
        <d v="2025-01-11T00:00:00"/>
        <d v="2025-11-05T00:00:00"/>
        <d v="2026-04-12T00:00:00"/>
        <d v="2025-08-11T00:00:00"/>
        <d v="2025-07-01T00:00:00"/>
        <d v="2025-04-12T00:00:00"/>
        <d v="2025-09-13T00:00:00"/>
        <d v="2025-05-09T00:00:00"/>
        <d v="2025-12-15T00:00:00"/>
        <d v="2026-02-17T00:00:00"/>
        <d v="2026-03-02T00:00:00"/>
        <d v="2025-10-14T00:00:00"/>
        <d v="2025-10-23T00:00:00"/>
        <d v="2026-01-15T00:00:00"/>
        <d v="2025-01-15T00:00:00"/>
        <d v="2025-01-09T00:00:00"/>
        <d v="2025-11-29T00:00:00"/>
        <d v="2025-06-16T00:00:00"/>
        <d v="2026-03-07T00:00:00"/>
        <d v="2025-10-29T00:00:00"/>
        <d v="2025-06-01T00:00:00"/>
        <d v="2026-03-22T00:00:00"/>
        <d v="2025-11-14T00:00:00"/>
        <d v="2025-05-23T00:00:00"/>
        <d v="2025-10-28T00:00:00"/>
        <d v="2025-01-16T00:00:00"/>
        <d v="2025-04-15T00:00:00"/>
        <d v="2025-01-28T00:00:00"/>
        <d v="2025-09-01T00:00:00"/>
        <d v="2025-07-05T00:00:00"/>
        <d v="2026-04-27T00:00:00"/>
        <d v="2025-12-30T00:00:00"/>
        <d v="2025-12-29T00:00:00"/>
        <d v="2026-02-23T00:00:00"/>
        <d v="2025-10-18T00:00:00"/>
        <d v="2026-01-30T00:00:00"/>
        <d v="2025-07-13T00:00:00"/>
        <d v="2025-06-24T00:00:00"/>
        <d v="2025-03-02T00:00:00"/>
        <d v="2025-01-20T00:00:00"/>
        <d v="2025-12-24T00:00:00"/>
        <d v="2026-02-27T00:00:00"/>
        <d v="2025-03-26T00:00:00"/>
        <d v="2026-02-03T00:00:00"/>
        <d v="2025-12-05T00:00:00"/>
        <d v="2025-10-17T00:00:00"/>
        <d v="2025-03-30T00:00:00"/>
        <d v="2025-12-23T00:00:00"/>
        <d v="2025-07-11T00:00:00"/>
        <d v="2026-03-04T00:00:00"/>
        <d v="2025-11-02T00:00:00"/>
        <d v="2025-04-29T00:00:00"/>
        <d v="2025-03-31T00:00:00"/>
        <d v="2025-04-18T00:00:00"/>
        <d v="2025-03-06T00:00:00"/>
        <d v="2025-06-21T00:00:00"/>
        <d v="2025-08-24T00:00:00"/>
        <d v="2025-01-14T00:00:00"/>
        <d v="2026-03-28T00:00:00"/>
        <d v="2026-03-31T00:00:00"/>
        <d v="2025-05-28T00:00:00"/>
        <d v="2026-03-21T00:00:00"/>
        <d v="2025-07-30T00:00:00"/>
        <d v="2025-09-23T00:00:00"/>
        <d v="2026-04-19T00:00:00"/>
        <d v="2025-05-18T00:00:00"/>
        <d v="2026-02-02T00:00:00"/>
        <d v="2025-10-03T00:00:00"/>
        <d v="2025-11-23T00:00:00"/>
        <d v="2026-02-11T00:00:00"/>
        <d v="2026-01-04T00:00:00"/>
        <d v="2025-02-27T00:00:00"/>
        <d v="2025-03-24T00:00:00"/>
        <d v="2025-03-29T00:00:00"/>
        <d v="2026-04-05T00:00:00"/>
        <d v="2026-04-29T00:00:00"/>
        <d v="2026-04-07T00:00:00"/>
        <d v="2026-01-18T00:00:00"/>
        <d v="2025-03-18T00:00:00"/>
        <d v="2026-04-16T00:00:00"/>
        <d v="2026-02-04T00:00:00"/>
        <d v="2025-12-31T00:00:00"/>
        <d v="2025-06-10T00:00:00"/>
        <d v="2025-04-26T00:00:00"/>
        <d v="2026-01-05T00:00:00"/>
        <d v="2025-02-07T00:00:00"/>
        <d v="2025-03-09T00:00:00"/>
        <d v="2026-02-21T00:00:00"/>
        <d v="2025-07-15T00:00:00"/>
      </sharedItems>
      <fieldGroup par="4"/>
    </cacheField>
    <cacheField name="Region" numFmtId="0">
      <sharedItems count="5">
        <s v="North"/>
        <s v="Central"/>
        <s v="South"/>
        <s v="North " u="1"/>
        <s v="South " u="1"/>
      </sharedItems>
    </cacheField>
    <cacheField name="SIP_Amt" numFmtId="0">
      <sharedItems containsSemiMixedTypes="0" containsString="0" containsNumber="1" containsInteger="1" minValue="1005" maxValue="9985" count="96">
        <n v="8553"/>
        <n v="2236"/>
        <n v="9233"/>
        <n v="2880"/>
        <n v="1785"/>
        <n v="9654"/>
        <n v="9375"/>
        <n v="1313"/>
        <n v="8837"/>
        <n v="8095"/>
        <n v="8342"/>
        <n v="7296"/>
        <n v="7424"/>
        <n v="7454"/>
        <n v="5102"/>
        <n v="8727"/>
        <n v="1777"/>
        <n v="7545"/>
        <n v="3315"/>
        <n v="2807"/>
        <n v="9074"/>
        <n v="9854"/>
        <n v="6296"/>
        <n v="2130"/>
        <n v="2928"/>
        <n v="8495"/>
        <n v="6985"/>
        <n v="8724"/>
        <n v="4459"/>
        <n v="6301"/>
        <n v="5001"/>
        <n v="9323"/>
        <n v="5665"/>
        <n v="4100"/>
        <n v="1024"/>
        <n v="1005"/>
        <n v="9605"/>
        <n v="3265"/>
        <n v="6554"/>
        <n v="9490"/>
        <n v="1820"/>
        <n v="9214"/>
        <n v="2908"/>
        <n v="3806"/>
        <n v="5248"/>
        <n v="2643"/>
        <n v="3653"/>
        <n v="8029"/>
        <n v="4609"/>
        <n v="7547"/>
        <n v="4136"/>
        <n v="3002"/>
        <n v="6216"/>
        <n v="2563"/>
        <n v="9928"/>
        <n v="8026"/>
        <n v="9266"/>
        <n v="8544"/>
        <n v="7858"/>
        <n v="9156"/>
        <n v="3799"/>
        <n v="7553"/>
        <n v="9850"/>
        <n v="1910"/>
        <n v="6401"/>
        <n v="7357"/>
        <n v="6487"/>
        <n v="8921"/>
        <n v="8759"/>
        <n v="8935"/>
        <n v="4678"/>
        <n v="6745"/>
        <n v="7486"/>
        <n v="9984"/>
        <n v="1041"/>
        <n v="6149"/>
        <n v="2016"/>
        <n v="2724"/>
        <n v="3863"/>
        <n v="4373"/>
        <n v="2756"/>
        <n v="1438"/>
        <n v="9871"/>
        <n v="6518"/>
        <n v="8354"/>
        <n v="7724"/>
        <n v="1444"/>
        <n v="7293"/>
        <n v="7656"/>
        <n v="9368"/>
        <n v="4429"/>
        <n v="7565"/>
        <n v="9985"/>
        <n v="7936"/>
        <n v="6268"/>
        <n v="3908"/>
      </sharedItems>
    </cacheField>
    <cacheField name="Lumpsum_Amt" numFmtId="0">
      <sharedItems containsSemiMixedTypes="0" containsString="0" containsNumber="1" containsInteger="1" minValue="5396" maxValue="49795" count="99">
        <n v="11056"/>
        <n v="30731"/>
        <n v="30203"/>
        <n v="19839"/>
        <n v="33062"/>
        <n v="36977"/>
        <n v="29630"/>
        <n v="25837"/>
        <n v="35899"/>
        <n v="11635"/>
        <n v="44443"/>
        <n v="49171"/>
        <n v="41257"/>
        <n v="37168"/>
        <n v="48220"/>
        <n v="10820"/>
        <n v="7172"/>
        <n v="10934"/>
        <n v="10738"/>
        <n v="16494"/>
        <n v="13031"/>
        <n v="20435"/>
        <n v="25635"/>
        <n v="29957"/>
        <n v="44272"/>
        <n v="37132"/>
        <n v="27915"/>
        <n v="8394"/>
        <n v="41535"/>
        <n v="26090"/>
        <n v="23935"/>
        <n v="20930"/>
        <n v="8402"/>
        <n v="48531"/>
        <n v="33173"/>
        <n v="19155"/>
        <n v="6898"/>
        <n v="34108"/>
        <n v="9134"/>
        <n v="36736"/>
        <n v="30880"/>
        <n v="44316"/>
        <n v="41614"/>
        <n v="31693"/>
        <n v="14687"/>
        <n v="24139"/>
        <n v="22699"/>
        <n v="47373"/>
        <n v="6847"/>
        <n v="32771"/>
        <n v="49640"/>
        <n v="34661"/>
        <n v="28322"/>
        <n v="32579"/>
        <n v="17548"/>
        <n v="18350"/>
        <n v="25761"/>
        <n v="28996"/>
        <n v="34131"/>
        <n v="20475"/>
        <n v="40014"/>
        <n v="47485"/>
        <n v="21014"/>
        <n v="35906"/>
        <n v="8626"/>
        <n v="49795"/>
        <n v="9916"/>
        <n v="38541"/>
        <n v="44903"/>
        <n v="13644"/>
        <n v="43037"/>
        <n v="18286"/>
        <n v="13057"/>
        <n v="32522"/>
        <n v="43966"/>
        <n v="5396"/>
        <n v="24196"/>
        <n v="13088"/>
        <n v="19181"/>
        <n v="7819"/>
        <n v="23240"/>
        <n v="45272"/>
        <n v="17074"/>
        <n v="42136"/>
        <n v="37549"/>
        <n v="48489"/>
        <n v="8957"/>
        <n v="12450"/>
        <n v="23020"/>
        <n v="31984"/>
        <n v="49610"/>
        <n v="21542"/>
        <n v="34712"/>
        <n v="42270"/>
        <n v="31651"/>
        <n v="39828"/>
        <n v="39265"/>
        <n v="11347"/>
        <n v="25742"/>
      </sharedItems>
    </cacheField>
    <cacheField name="Months (Date)" numFmtId="0" databaseField="0">
      <fieldGroup base="0">
        <rangePr groupBy="months" startDate="2025-01-09T00:00:00" endDate="2026-04-30T00:00:00"/>
        <groupItems count="14">
          <s v="&lt;09-01-2025"/>
          <s v="Jan"/>
          <s v="Feb"/>
          <s v="Mar"/>
          <s v="Apr"/>
          <s v="May"/>
          <s v="Jun"/>
          <s v="Jul"/>
          <s v="Aug"/>
          <s v="Sep"/>
          <s v="Oct"/>
          <s v="Nov"/>
          <s v="Dec"/>
          <s v="&gt;30-04-2026"/>
        </groupItems>
      </fieldGroup>
    </cacheField>
  </cacheFields>
  <extLst>
    <ext xmlns:x14="http://schemas.microsoft.com/office/spreadsheetml/2009/9/main" uri="{725AE2AE-9491-48be-B2B4-4EB974FC3084}">
      <x14:pivotCacheDefinition pivotCacheId="38152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r>
  <r>
    <x v="1"/>
    <x v="1"/>
    <x v="1"/>
    <x v="1"/>
  </r>
  <r>
    <x v="2"/>
    <x v="2"/>
    <x v="2"/>
    <x v="2"/>
  </r>
  <r>
    <x v="3"/>
    <x v="2"/>
    <x v="3"/>
    <x v="3"/>
  </r>
  <r>
    <x v="4"/>
    <x v="0"/>
    <x v="4"/>
    <x v="4"/>
  </r>
  <r>
    <x v="5"/>
    <x v="1"/>
    <x v="5"/>
    <x v="5"/>
  </r>
  <r>
    <x v="6"/>
    <x v="2"/>
    <x v="6"/>
    <x v="6"/>
  </r>
  <r>
    <x v="7"/>
    <x v="1"/>
    <x v="7"/>
    <x v="7"/>
  </r>
  <r>
    <x v="8"/>
    <x v="0"/>
    <x v="8"/>
    <x v="8"/>
  </r>
  <r>
    <x v="9"/>
    <x v="0"/>
    <x v="9"/>
    <x v="9"/>
  </r>
  <r>
    <x v="10"/>
    <x v="0"/>
    <x v="10"/>
    <x v="10"/>
  </r>
  <r>
    <x v="11"/>
    <x v="2"/>
    <x v="11"/>
    <x v="11"/>
  </r>
  <r>
    <x v="12"/>
    <x v="1"/>
    <x v="12"/>
    <x v="12"/>
  </r>
  <r>
    <x v="13"/>
    <x v="1"/>
    <x v="13"/>
    <x v="13"/>
  </r>
  <r>
    <x v="14"/>
    <x v="0"/>
    <x v="14"/>
    <x v="14"/>
  </r>
  <r>
    <x v="15"/>
    <x v="2"/>
    <x v="15"/>
    <x v="15"/>
  </r>
  <r>
    <x v="16"/>
    <x v="1"/>
    <x v="16"/>
    <x v="16"/>
  </r>
  <r>
    <x v="17"/>
    <x v="0"/>
    <x v="17"/>
    <x v="17"/>
  </r>
  <r>
    <x v="18"/>
    <x v="2"/>
    <x v="18"/>
    <x v="18"/>
  </r>
  <r>
    <x v="19"/>
    <x v="1"/>
    <x v="19"/>
    <x v="19"/>
  </r>
  <r>
    <x v="20"/>
    <x v="2"/>
    <x v="20"/>
    <x v="20"/>
  </r>
  <r>
    <x v="21"/>
    <x v="0"/>
    <x v="21"/>
    <x v="21"/>
  </r>
  <r>
    <x v="22"/>
    <x v="1"/>
    <x v="22"/>
    <x v="22"/>
  </r>
  <r>
    <x v="23"/>
    <x v="0"/>
    <x v="23"/>
    <x v="23"/>
  </r>
  <r>
    <x v="24"/>
    <x v="1"/>
    <x v="24"/>
    <x v="24"/>
  </r>
  <r>
    <x v="25"/>
    <x v="0"/>
    <x v="25"/>
    <x v="25"/>
  </r>
  <r>
    <x v="26"/>
    <x v="0"/>
    <x v="26"/>
    <x v="26"/>
  </r>
  <r>
    <x v="27"/>
    <x v="1"/>
    <x v="27"/>
    <x v="27"/>
  </r>
  <r>
    <x v="28"/>
    <x v="1"/>
    <x v="28"/>
    <x v="28"/>
  </r>
  <r>
    <x v="29"/>
    <x v="2"/>
    <x v="29"/>
    <x v="29"/>
  </r>
  <r>
    <x v="30"/>
    <x v="2"/>
    <x v="30"/>
    <x v="30"/>
  </r>
  <r>
    <x v="31"/>
    <x v="2"/>
    <x v="31"/>
    <x v="31"/>
  </r>
  <r>
    <x v="32"/>
    <x v="1"/>
    <x v="32"/>
    <x v="32"/>
  </r>
  <r>
    <x v="33"/>
    <x v="0"/>
    <x v="33"/>
    <x v="33"/>
  </r>
  <r>
    <x v="20"/>
    <x v="2"/>
    <x v="34"/>
    <x v="34"/>
  </r>
  <r>
    <x v="34"/>
    <x v="1"/>
    <x v="35"/>
    <x v="35"/>
  </r>
  <r>
    <x v="35"/>
    <x v="2"/>
    <x v="36"/>
    <x v="36"/>
  </r>
  <r>
    <x v="36"/>
    <x v="0"/>
    <x v="37"/>
    <x v="37"/>
  </r>
  <r>
    <x v="37"/>
    <x v="0"/>
    <x v="38"/>
    <x v="38"/>
  </r>
  <r>
    <x v="38"/>
    <x v="0"/>
    <x v="39"/>
    <x v="39"/>
  </r>
  <r>
    <x v="39"/>
    <x v="2"/>
    <x v="40"/>
    <x v="40"/>
  </r>
  <r>
    <x v="35"/>
    <x v="1"/>
    <x v="41"/>
    <x v="41"/>
  </r>
  <r>
    <x v="40"/>
    <x v="0"/>
    <x v="42"/>
    <x v="42"/>
  </r>
  <r>
    <x v="41"/>
    <x v="2"/>
    <x v="43"/>
    <x v="43"/>
  </r>
  <r>
    <x v="42"/>
    <x v="0"/>
    <x v="44"/>
    <x v="44"/>
  </r>
  <r>
    <x v="43"/>
    <x v="1"/>
    <x v="45"/>
    <x v="45"/>
  </r>
  <r>
    <x v="44"/>
    <x v="1"/>
    <x v="9"/>
    <x v="46"/>
  </r>
  <r>
    <x v="45"/>
    <x v="0"/>
    <x v="46"/>
    <x v="47"/>
  </r>
  <r>
    <x v="46"/>
    <x v="2"/>
    <x v="47"/>
    <x v="48"/>
  </r>
  <r>
    <x v="47"/>
    <x v="0"/>
    <x v="48"/>
    <x v="49"/>
  </r>
  <r>
    <x v="48"/>
    <x v="2"/>
    <x v="49"/>
    <x v="50"/>
  </r>
  <r>
    <x v="49"/>
    <x v="1"/>
    <x v="50"/>
    <x v="51"/>
  </r>
  <r>
    <x v="50"/>
    <x v="1"/>
    <x v="51"/>
    <x v="52"/>
  </r>
  <r>
    <x v="51"/>
    <x v="0"/>
    <x v="3"/>
    <x v="53"/>
  </r>
  <r>
    <x v="52"/>
    <x v="0"/>
    <x v="52"/>
    <x v="54"/>
  </r>
  <r>
    <x v="53"/>
    <x v="1"/>
    <x v="53"/>
    <x v="55"/>
  </r>
  <r>
    <x v="54"/>
    <x v="1"/>
    <x v="54"/>
    <x v="56"/>
  </r>
  <r>
    <x v="55"/>
    <x v="2"/>
    <x v="55"/>
    <x v="57"/>
  </r>
  <r>
    <x v="55"/>
    <x v="2"/>
    <x v="56"/>
    <x v="58"/>
  </r>
  <r>
    <x v="56"/>
    <x v="2"/>
    <x v="57"/>
    <x v="59"/>
  </r>
  <r>
    <x v="57"/>
    <x v="2"/>
    <x v="58"/>
    <x v="60"/>
  </r>
  <r>
    <x v="58"/>
    <x v="0"/>
    <x v="59"/>
    <x v="61"/>
  </r>
  <r>
    <x v="59"/>
    <x v="1"/>
    <x v="60"/>
    <x v="62"/>
  </r>
  <r>
    <x v="60"/>
    <x v="1"/>
    <x v="61"/>
    <x v="63"/>
  </r>
  <r>
    <x v="61"/>
    <x v="0"/>
    <x v="62"/>
    <x v="64"/>
  </r>
  <r>
    <x v="62"/>
    <x v="0"/>
    <x v="63"/>
    <x v="65"/>
  </r>
  <r>
    <x v="63"/>
    <x v="0"/>
    <x v="64"/>
    <x v="66"/>
  </r>
  <r>
    <x v="64"/>
    <x v="0"/>
    <x v="36"/>
    <x v="67"/>
  </r>
  <r>
    <x v="65"/>
    <x v="1"/>
    <x v="65"/>
    <x v="68"/>
  </r>
  <r>
    <x v="66"/>
    <x v="1"/>
    <x v="66"/>
    <x v="69"/>
  </r>
  <r>
    <x v="67"/>
    <x v="1"/>
    <x v="67"/>
    <x v="70"/>
  </r>
  <r>
    <x v="68"/>
    <x v="0"/>
    <x v="68"/>
    <x v="71"/>
  </r>
  <r>
    <x v="69"/>
    <x v="2"/>
    <x v="69"/>
    <x v="72"/>
  </r>
  <r>
    <x v="70"/>
    <x v="2"/>
    <x v="70"/>
    <x v="73"/>
  </r>
  <r>
    <x v="71"/>
    <x v="1"/>
    <x v="71"/>
    <x v="74"/>
  </r>
  <r>
    <x v="72"/>
    <x v="0"/>
    <x v="72"/>
    <x v="75"/>
  </r>
  <r>
    <x v="73"/>
    <x v="0"/>
    <x v="73"/>
    <x v="76"/>
  </r>
  <r>
    <x v="74"/>
    <x v="1"/>
    <x v="74"/>
    <x v="77"/>
  </r>
  <r>
    <x v="75"/>
    <x v="2"/>
    <x v="75"/>
    <x v="78"/>
  </r>
  <r>
    <x v="43"/>
    <x v="2"/>
    <x v="76"/>
    <x v="79"/>
  </r>
  <r>
    <x v="76"/>
    <x v="0"/>
    <x v="77"/>
    <x v="80"/>
  </r>
  <r>
    <x v="41"/>
    <x v="0"/>
    <x v="78"/>
    <x v="81"/>
  </r>
  <r>
    <x v="77"/>
    <x v="1"/>
    <x v="79"/>
    <x v="82"/>
  </r>
  <r>
    <x v="78"/>
    <x v="2"/>
    <x v="80"/>
    <x v="83"/>
  </r>
  <r>
    <x v="79"/>
    <x v="2"/>
    <x v="81"/>
    <x v="84"/>
  </r>
  <r>
    <x v="80"/>
    <x v="0"/>
    <x v="82"/>
    <x v="85"/>
  </r>
  <r>
    <x v="81"/>
    <x v="1"/>
    <x v="83"/>
    <x v="86"/>
  </r>
  <r>
    <x v="30"/>
    <x v="2"/>
    <x v="84"/>
    <x v="87"/>
  </r>
  <r>
    <x v="82"/>
    <x v="1"/>
    <x v="85"/>
    <x v="88"/>
  </r>
  <r>
    <x v="67"/>
    <x v="0"/>
    <x v="86"/>
    <x v="89"/>
  </r>
  <r>
    <x v="83"/>
    <x v="0"/>
    <x v="87"/>
    <x v="90"/>
  </r>
  <r>
    <x v="57"/>
    <x v="0"/>
    <x v="88"/>
    <x v="91"/>
  </r>
  <r>
    <x v="84"/>
    <x v="2"/>
    <x v="89"/>
    <x v="92"/>
  </r>
  <r>
    <x v="67"/>
    <x v="1"/>
    <x v="90"/>
    <x v="93"/>
  </r>
  <r>
    <x v="85"/>
    <x v="1"/>
    <x v="91"/>
    <x v="94"/>
  </r>
  <r>
    <x v="86"/>
    <x v="0"/>
    <x v="92"/>
    <x v="95"/>
  </r>
  <r>
    <x v="87"/>
    <x v="2"/>
    <x v="93"/>
    <x v="96"/>
  </r>
  <r>
    <x v="88"/>
    <x v="1"/>
    <x v="94"/>
    <x v="97"/>
  </r>
  <r>
    <x v="89"/>
    <x v="0"/>
    <x v="95"/>
    <x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1397B-AAE4-43AE-B7FC-F75A90A15C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7" firstHeaderRow="0" firstDataRow="1" firstDataCol="1"/>
  <pivotFields count="5">
    <pivotField numFmtId="14" showAll="0">
      <items count="91">
        <item x="16"/>
        <item x="1"/>
        <item x="58"/>
        <item x="15"/>
        <item x="26"/>
        <item x="40"/>
        <item x="0"/>
        <item x="28"/>
        <item x="86"/>
        <item x="72"/>
        <item x="39"/>
        <item x="55"/>
        <item x="87"/>
        <item x="79"/>
        <item x="73"/>
        <item x="43"/>
        <item x="74"/>
        <item x="47"/>
        <item x="53"/>
        <item x="6"/>
        <item x="27"/>
        <item x="54"/>
        <item x="84"/>
        <item x="52"/>
        <item x="8"/>
        <item x="66"/>
        <item x="24"/>
        <item x="61"/>
        <item x="21"/>
        <item x="83"/>
        <item x="18"/>
        <item x="56"/>
        <item x="38"/>
        <item x="5"/>
        <item x="30"/>
        <item x="49"/>
        <item x="37"/>
        <item x="89"/>
        <item x="63"/>
        <item x="4"/>
        <item x="57"/>
        <item x="29"/>
        <item x="7"/>
        <item x="64"/>
        <item x="68"/>
        <item x="12"/>
        <item x="46"/>
        <item x="35"/>
        <item x="13"/>
        <item x="25"/>
        <item x="20"/>
        <item x="51"/>
        <item x="2"/>
        <item x="23"/>
        <item x="69"/>
        <item x="17"/>
        <item x="45"/>
        <item x="9"/>
        <item x="48"/>
        <item x="41"/>
        <item x="33"/>
        <item x="32"/>
        <item x="82"/>
        <item x="71"/>
        <item x="85"/>
        <item x="14"/>
        <item x="78"/>
        <item x="36"/>
        <item x="67"/>
        <item x="44"/>
        <item x="81"/>
        <item x="70"/>
        <item x="10"/>
        <item x="88"/>
        <item x="34"/>
        <item x="42"/>
        <item x="11"/>
        <item x="50"/>
        <item x="19"/>
        <item x="62"/>
        <item x="22"/>
        <item x="59"/>
        <item x="60"/>
        <item x="75"/>
        <item x="77"/>
        <item x="3"/>
        <item x="80"/>
        <item x="65"/>
        <item x="31"/>
        <item x="76"/>
        <item t="default"/>
      </items>
    </pivotField>
    <pivotField axis="axisRow" showAll="0" sumSubtotal="1">
      <items count="6">
        <item x="1"/>
        <item x="0"/>
        <item m="1" x="3"/>
        <item x="2"/>
        <item m="1" x="4"/>
        <item t="sum"/>
      </items>
    </pivotField>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4">
    <i>
      <x/>
    </i>
    <i>
      <x v="1"/>
    </i>
    <i>
      <x v="3"/>
    </i>
    <i t="grand">
      <x/>
    </i>
  </rowItems>
  <colFields count="1">
    <field x="-2"/>
  </colFields>
  <colItems count="2">
    <i>
      <x/>
    </i>
    <i i="1">
      <x v="1"/>
    </i>
  </colItems>
  <dataFields count="2">
    <dataField name="Total SIP" fld="2" baseField="0" baseItem="0"/>
    <dataField name="Total Lumpsum" fld="3"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939E1-B455-4E6C-AB36-CE5B81802C9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C16" firstHeaderRow="0" firstDataRow="1" firstDataCol="1"/>
  <pivotFields count="5">
    <pivotField numFmtId="14" showAll="0">
      <items count="91">
        <item x="16"/>
        <item x="1"/>
        <item x="58"/>
        <item x="15"/>
        <item x="26"/>
        <item x="40"/>
        <item x="0"/>
        <item x="28"/>
        <item x="86"/>
        <item x="72"/>
        <item x="39"/>
        <item x="55"/>
        <item x="87"/>
        <item x="79"/>
        <item x="73"/>
        <item x="43"/>
        <item x="74"/>
        <item x="47"/>
        <item x="53"/>
        <item x="6"/>
        <item x="27"/>
        <item x="54"/>
        <item x="84"/>
        <item x="52"/>
        <item x="8"/>
        <item x="66"/>
        <item x="24"/>
        <item x="61"/>
        <item x="21"/>
        <item x="83"/>
        <item x="18"/>
        <item x="56"/>
        <item x="38"/>
        <item x="5"/>
        <item x="30"/>
        <item x="49"/>
        <item x="37"/>
        <item x="89"/>
        <item x="63"/>
        <item x="4"/>
        <item x="57"/>
        <item x="29"/>
        <item x="7"/>
        <item x="64"/>
        <item x="68"/>
        <item x="12"/>
        <item x="46"/>
        <item x="35"/>
        <item x="13"/>
        <item x="25"/>
        <item x="20"/>
        <item x="51"/>
        <item x="2"/>
        <item x="23"/>
        <item x="69"/>
        <item x="17"/>
        <item x="45"/>
        <item x="9"/>
        <item x="48"/>
        <item x="41"/>
        <item x="33"/>
        <item x="32"/>
        <item x="82"/>
        <item x="71"/>
        <item x="85"/>
        <item x="14"/>
        <item x="78"/>
        <item x="36"/>
        <item x="67"/>
        <item x="44"/>
        <item x="81"/>
        <item x="70"/>
        <item x="10"/>
        <item x="88"/>
        <item x="34"/>
        <item x="42"/>
        <item x="11"/>
        <item x="50"/>
        <item x="19"/>
        <item x="62"/>
        <item x="22"/>
        <item x="59"/>
        <item x="60"/>
        <item x="75"/>
        <item x="77"/>
        <item x="3"/>
        <item x="80"/>
        <item x="65"/>
        <item x="31"/>
        <item x="76"/>
        <item t="default"/>
      </items>
    </pivotField>
    <pivotField showAll="0"/>
    <pivotField dataField="1" showAll="0"/>
    <pivotField dataField="1" showAll="0"/>
    <pivotField axis="axisRow" showAll="0">
      <items count="15">
        <item x="0"/>
        <item x="1"/>
        <item x="2"/>
        <item x="3"/>
        <item x="4"/>
        <item x="5"/>
        <item x="6"/>
        <item x="7"/>
        <item x="8"/>
        <item x="9"/>
        <item x="10"/>
        <item x="11"/>
        <item x="12"/>
        <item x="13"/>
        <item t="default"/>
      </items>
    </pivotField>
  </pivotFields>
  <rowFields count="1">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Total SIP" fld="2" baseField="0" baseItem="0"/>
    <dataField name="Total Lumpsum" fld="3"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42A621-46F3-4783-88D8-C2F728B84704}" sourceName="Region">
  <pivotTables>
    <pivotTable tabId="2" name="PivotTable1"/>
  </pivotTables>
  <data>
    <tabular pivotCacheId="381525689">
      <items count="5">
        <i x="1" s="1"/>
        <i x="0" s="1"/>
        <i x="2" s="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A66DDE1-573E-47E4-8F3A-447A6183CB9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123E3AC-7733-4D25-B37A-2102A278063D}" sourceName="Date">
  <pivotTables>
    <pivotTable tabId="3" name="PivotTable2"/>
  </pivotTables>
  <state minimalRefreshVersion="6" lastRefreshVersion="6" pivotCacheId="38152568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7D4D6FC-5C5E-4E12-8515-E031259E20E4}" cache="NativeTimeline_Date" caption="Date" level="0" selectionLevel="0" scrollPosition="2025-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A3CFB-7E1A-47E7-AC9E-E4839F7EE3AA}">
  <dimension ref="A1:D100"/>
  <sheetViews>
    <sheetView zoomScale="144" workbookViewId="0">
      <selection activeCell="D3" sqref="D3"/>
    </sheetView>
  </sheetViews>
  <sheetFormatPr defaultRowHeight="14.4" x14ac:dyDescent="0.3"/>
  <cols>
    <col min="1" max="1" width="10.33203125" bestFit="1" customWidth="1"/>
    <col min="2" max="2" width="14.21875" bestFit="1" customWidth="1"/>
    <col min="4" max="4" width="13.21875" bestFit="1" customWidth="1"/>
  </cols>
  <sheetData>
    <row r="1" spans="1:4" x14ac:dyDescent="0.3">
      <c r="A1" t="s">
        <v>0</v>
      </c>
      <c r="B1" t="s">
        <v>1</v>
      </c>
      <c r="C1" t="s">
        <v>2</v>
      </c>
      <c r="D1" t="s">
        <v>3</v>
      </c>
    </row>
    <row r="2" spans="1:4" x14ac:dyDescent="0.3">
      <c r="A2" s="1">
        <v>45678</v>
      </c>
      <c r="B2" t="s">
        <v>4</v>
      </c>
      <c r="C2">
        <v>8553</v>
      </c>
      <c r="D2">
        <v>11056</v>
      </c>
    </row>
    <row r="3" spans="1:4" x14ac:dyDescent="0.3">
      <c r="A3" s="1">
        <v>45668</v>
      </c>
      <c r="B3" t="s">
        <v>5</v>
      </c>
      <c r="C3">
        <v>2236</v>
      </c>
      <c r="D3">
        <v>30731</v>
      </c>
    </row>
    <row r="4" spans="1:4" x14ac:dyDescent="0.3">
      <c r="A4" s="1">
        <v>45966</v>
      </c>
      <c r="B4" t="s">
        <v>6</v>
      </c>
      <c r="C4">
        <v>9233</v>
      </c>
      <c r="D4">
        <v>30203</v>
      </c>
    </row>
    <row r="5" spans="1:4" x14ac:dyDescent="0.3">
      <c r="A5" s="1">
        <v>46124</v>
      </c>
      <c r="B5" t="s">
        <v>6</v>
      </c>
      <c r="C5">
        <v>2880</v>
      </c>
      <c r="D5">
        <v>19839</v>
      </c>
    </row>
    <row r="6" spans="1:4" x14ac:dyDescent="0.3">
      <c r="A6" s="1">
        <v>45880</v>
      </c>
      <c r="B6" t="s">
        <v>4</v>
      </c>
      <c r="C6">
        <v>1785</v>
      </c>
      <c r="D6">
        <v>33062</v>
      </c>
    </row>
    <row r="7" spans="1:4" x14ac:dyDescent="0.3">
      <c r="A7" s="1">
        <v>45839</v>
      </c>
      <c r="B7" t="s">
        <v>5</v>
      </c>
      <c r="C7">
        <v>9654</v>
      </c>
      <c r="D7">
        <v>36977</v>
      </c>
    </row>
    <row r="8" spans="1:4" x14ac:dyDescent="0.3">
      <c r="A8" s="1">
        <v>45759</v>
      </c>
      <c r="B8" t="s">
        <v>6</v>
      </c>
      <c r="C8">
        <v>9375</v>
      </c>
      <c r="D8">
        <v>29630</v>
      </c>
    </row>
    <row r="9" spans="1:4" x14ac:dyDescent="0.3">
      <c r="A9" s="1">
        <v>45913</v>
      </c>
      <c r="B9" t="s">
        <v>5</v>
      </c>
      <c r="C9">
        <v>1313</v>
      </c>
      <c r="D9">
        <v>25837</v>
      </c>
    </row>
    <row r="10" spans="1:4" x14ac:dyDescent="0.3">
      <c r="A10" s="1">
        <v>45786</v>
      </c>
      <c r="B10" t="s">
        <v>4</v>
      </c>
      <c r="C10">
        <v>8837</v>
      </c>
      <c r="D10">
        <v>35899</v>
      </c>
    </row>
    <row r="11" spans="1:4" x14ac:dyDescent="0.3">
      <c r="A11" s="1">
        <v>46006</v>
      </c>
      <c r="B11" t="s">
        <v>4</v>
      </c>
      <c r="C11">
        <v>8095</v>
      </c>
      <c r="D11">
        <v>11635</v>
      </c>
    </row>
    <row r="12" spans="1:4" x14ac:dyDescent="0.3">
      <c r="A12" s="1">
        <v>46070</v>
      </c>
      <c r="B12" t="s">
        <v>4</v>
      </c>
      <c r="C12">
        <v>8342</v>
      </c>
      <c r="D12">
        <v>44443</v>
      </c>
    </row>
    <row r="13" spans="1:4" x14ac:dyDescent="0.3">
      <c r="A13" s="1">
        <v>46083</v>
      </c>
      <c r="B13" t="s">
        <v>6</v>
      </c>
      <c r="C13">
        <v>7296</v>
      </c>
      <c r="D13">
        <v>49171</v>
      </c>
    </row>
    <row r="14" spans="1:4" x14ac:dyDescent="0.3">
      <c r="A14" s="1">
        <v>45944</v>
      </c>
      <c r="B14" t="s">
        <v>5</v>
      </c>
      <c r="C14">
        <v>7424</v>
      </c>
      <c r="D14">
        <v>41257</v>
      </c>
    </row>
    <row r="15" spans="1:4" x14ac:dyDescent="0.3">
      <c r="A15" s="1">
        <v>45953</v>
      </c>
      <c r="B15" t="s">
        <v>5</v>
      </c>
      <c r="C15">
        <v>7454</v>
      </c>
      <c r="D15">
        <v>37168</v>
      </c>
    </row>
    <row r="16" spans="1:4" x14ac:dyDescent="0.3">
      <c r="A16" s="1">
        <v>46037</v>
      </c>
      <c r="B16" t="s">
        <v>4</v>
      </c>
      <c r="C16">
        <v>5102</v>
      </c>
      <c r="D16">
        <v>48220</v>
      </c>
    </row>
    <row r="17" spans="1:4" x14ac:dyDescent="0.3">
      <c r="A17" s="1">
        <v>45672</v>
      </c>
      <c r="B17" t="s">
        <v>6</v>
      </c>
      <c r="C17">
        <v>8727</v>
      </c>
      <c r="D17">
        <v>10820</v>
      </c>
    </row>
    <row r="18" spans="1:4" x14ac:dyDescent="0.3">
      <c r="A18" s="1">
        <v>45666</v>
      </c>
      <c r="B18" t="s">
        <v>5</v>
      </c>
      <c r="C18">
        <v>1777</v>
      </c>
      <c r="D18">
        <v>7172</v>
      </c>
    </row>
    <row r="19" spans="1:4" x14ac:dyDescent="0.3">
      <c r="A19" s="1">
        <v>45990</v>
      </c>
      <c r="B19" t="s">
        <v>4</v>
      </c>
      <c r="C19">
        <v>7545</v>
      </c>
      <c r="D19">
        <v>10934</v>
      </c>
    </row>
    <row r="20" spans="1:4" x14ac:dyDescent="0.3">
      <c r="A20" s="1">
        <v>45824</v>
      </c>
      <c r="B20" t="s">
        <v>6</v>
      </c>
      <c r="C20">
        <v>3315</v>
      </c>
      <c r="D20">
        <v>10738</v>
      </c>
    </row>
    <row r="21" spans="1:4" x14ac:dyDescent="0.3">
      <c r="A21" s="1">
        <v>46088</v>
      </c>
      <c r="B21" t="s">
        <v>5</v>
      </c>
      <c r="C21">
        <v>2807</v>
      </c>
      <c r="D21">
        <v>16494</v>
      </c>
    </row>
    <row r="22" spans="1:4" x14ac:dyDescent="0.3">
      <c r="A22" s="1">
        <v>45959</v>
      </c>
      <c r="B22" t="s">
        <v>6</v>
      </c>
      <c r="C22">
        <v>9074</v>
      </c>
      <c r="D22">
        <v>13031</v>
      </c>
    </row>
    <row r="23" spans="1:4" x14ac:dyDescent="0.3">
      <c r="A23" s="1">
        <v>45809</v>
      </c>
      <c r="B23" t="s">
        <v>4</v>
      </c>
      <c r="C23">
        <v>9854</v>
      </c>
      <c r="D23">
        <v>20435</v>
      </c>
    </row>
    <row r="24" spans="1:4" x14ac:dyDescent="0.3">
      <c r="A24" s="1">
        <v>46103</v>
      </c>
      <c r="B24" t="s">
        <v>5</v>
      </c>
      <c r="C24">
        <v>6296</v>
      </c>
      <c r="D24">
        <v>25635</v>
      </c>
    </row>
    <row r="25" spans="1:4" x14ac:dyDescent="0.3">
      <c r="A25" s="1">
        <v>45975</v>
      </c>
      <c r="B25" t="s">
        <v>4</v>
      </c>
      <c r="C25">
        <v>2130</v>
      </c>
      <c r="D25">
        <v>29957</v>
      </c>
    </row>
    <row r="26" spans="1:4" x14ac:dyDescent="0.3">
      <c r="A26" s="1">
        <v>45800</v>
      </c>
      <c r="B26" t="s">
        <v>5</v>
      </c>
      <c r="C26">
        <v>2928</v>
      </c>
      <c r="D26">
        <v>44272</v>
      </c>
    </row>
    <row r="27" spans="1:4" x14ac:dyDescent="0.3">
      <c r="A27" s="1">
        <v>45958</v>
      </c>
      <c r="B27" t="s">
        <v>4</v>
      </c>
      <c r="C27">
        <v>8495</v>
      </c>
      <c r="D27">
        <v>37132</v>
      </c>
    </row>
    <row r="28" spans="1:4" x14ac:dyDescent="0.3">
      <c r="A28" s="1">
        <v>45673</v>
      </c>
      <c r="B28" t="s">
        <v>4</v>
      </c>
      <c r="C28">
        <v>6985</v>
      </c>
      <c r="D28">
        <v>27915</v>
      </c>
    </row>
    <row r="29" spans="1:4" x14ac:dyDescent="0.3">
      <c r="A29" s="1">
        <v>45762</v>
      </c>
      <c r="B29" t="s">
        <v>5</v>
      </c>
      <c r="C29">
        <v>8724</v>
      </c>
      <c r="D29">
        <v>8394</v>
      </c>
    </row>
    <row r="30" spans="1:4" x14ac:dyDescent="0.3">
      <c r="A30" s="1">
        <v>45685</v>
      </c>
      <c r="B30" t="s">
        <v>5</v>
      </c>
      <c r="C30">
        <v>4459</v>
      </c>
      <c r="D30">
        <v>41535</v>
      </c>
    </row>
    <row r="31" spans="1:4" x14ac:dyDescent="0.3">
      <c r="A31" s="1">
        <v>45901</v>
      </c>
      <c r="B31" t="s">
        <v>6</v>
      </c>
      <c r="C31">
        <v>6301</v>
      </c>
      <c r="D31">
        <v>26090</v>
      </c>
    </row>
    <row r="32" spans="1:4" x14ac:dyDescent="0.3">
      <c r="A32" s="1">
        <v>45843</v>
      </c>
      <c r="B32" t="s">
        <v>6</v>
      </c>
      <c r="C32">
        <v>5001</v>
      </c>
      <c r="D32">
        <v>23935</v>
      </c>
    </row>
    <row r="33" spans="1:4" x14ac:dyDescent="0.3">
      <c r="A33" s="1">
        <v>46139</v>
      </c>
      <c r="B33" t="s">
        <v>6</v>
      </c>
      <c r="C33">
        <v>9323</v>
      </c>
      <c r="D33">
        <v>20930</v>
      </c>
    </row>
    <row r="34" spans="1:4" x14ac:dyDescent="0.3">
      <c r="A34" s="1">
        <v>46021</v>
      </c>
      <c r="B34" t="s">
        <v>5</v>
      </c>
      <c r="C34">
        <v>5665</v>
      </c>
      <c r="D34">
        <v>8402</v>
      </c>
    </row>
    <row r="35" spans="1:4" x14ac:dyDescent="0.3">
      <c r="A35" s="1">
        <v>46020</v>
      </c>
      <c r="B35" t="s">
        <v>4</v>
      </c>
      <c r="C35">
        <v>4100</v>
      </c>
      <c r="D35">
        <v>48531</v>
      </c>
    </row>
    <row r="36" spans="1:4" x14ac:dyDescent="0.3">
      <c r="A36" s="1">
        <v>45959</v>
      </c>
      <c r="B36" t="s">
        <v>6</v>
      </c>
      <c r="C36">
        <v>1024</v>
      </c>
      <c r="D36">
        <v>33173</v>
      </c>
    </row>
    <row r="37" spans="1:4" x14ac:dyDescent="0.3">
      <c r="A37" s="1">
        <v>46076</v>
      </c>
      <c r="B37" t="s">
        <v>5</v>
      </c>
      <c r="C37">
        <v>1005</v>
      </c>
      <c r="D37">
        <v>19155</v>
      </c>
    </row>
    <row r="38" spans="1:4" x14ac:dyDescent="0.3">
      <c r="A38" s="1">
        <v>45948</v>
      </c>
      <c r="B38" t="s">
        <v>6</v>
      </c>
      <c r="C38">
        <v>9605</v>
      </c>
      <c r="D38">
        <v>6898</v>
      </c>
    </row>
    <row r="39" spans="1:4" x14ac:dyDescent="0.3">
      <c r="A39" s="1">
        <v>46052</v>
      </c>
      <c r="B39" t="s">
        <v>4</v>
      </c>
      <c r="C39">
        <v>3265</v>
      </c>
      <c r="D39">
        <v>34108</v>
      </c>
    </row>
    <row r="40" spans="1:4" x14ac:dyDescent="0.3">
      <c r="A40" s="1">
        <v>45851</v>
      </c>
      <c r="B40" t="s">
        <v>4</v>
      </c>
      <c r="C40">
        <v>6554</v>
      </c>
      <c r="D40">
        <v>9134</v>
      </c>
    </row>
    <row r="41" spans="1:4" x14ac:dyDescent="0.3">
      <c r="A41" s="1">
        <v>45832</v>
      </c>
      <c r="B41" t="s">
        <v>4</v>
      </c>
      <c r="C41">
        <v>9490</v>
      </c>
      <c r="D41">
        <v>36736</v>
      </c>
    </row>
    <row r="42" spans="1:4" x14ac:dyDescent="0.3">
      <c r="A42" s="1">
        <v>45718</v>
      </c>
      <c r="B42" t="s">
        <v>6</v>
      </c>
      <c r="C42">
        <v>1820</v>
      </c>
      <c r="D42">
        <v>30880</v>
      </c>
    </row>
    <row r="43" spans="1:4" x14ac:dyDescent="0.3">
      <c r="A43" s="1">
        <v>45948</v>
      </c>
      <c r="B43" t="s">
        <v>5</v>
      </c>
      <c r="C43">
        <v>9214</v>
      </c>
      <c r="D43">
        <v>44316</v>
      </c>
    </row>
    <row r="44" spans="1:4" x14ac:dyDescent="0.3">
      <c r="A44" s="1">
        <v>45677</v>
      </c>
      <c r="B44" t="s">
        <v>4</v>
      </c>
      <c r="C44">
        <v>2908</v>
      </c>
      <c r="D44">
        <v>41614</v>
      </c>
    </row>
    <row r="45" spans="1:4" x14ac:dyDescent="0.3">
      <c r="A45" s="1">
        <v>46015</v>
      </c>
      <c r="B45" t="s">
        <v>6</v>
      </c>
      <c r="C45">
        <v>3806</v>
      </c>
      <c r="D45">
        <v>31693</v>
      </c>
    </row>
    <row r="46" spans="1:4" x14ac:dyDescent="0.3">
      <c r="A46" s="1">
        <v>46080</v>
      </c>
      <c r="B46" t="s">
        <v>4</v>
      </c>
      <c r="C46">
        <v>5248</v>
      </c>
      <c r="D46">
        <v>14687</v>
      </c>
    </row>
    <row r="47" spans="1:4" x14ac:dyDescent="0.3">
      <c r="A47" s="1">
        <v>45742</v>
      </c>
      <c r="B47" t="s">
        <v>5</v>
      </c>
      <c r="C47">
        <v>2643</v>
      </c>
      <c r="D47">
        <v>24139</v>
      </c>
    </row>
    <row r="48" spans="1:4" x14ac:dyDescent="0.3">
      <c r="A48" s="1">
        <v>46056</v>
      </c>
      <c r="B48" t="s">
        <v>5</v>
      </c>
      <c r="C48">
        <v>8095</v>
      </c>
      <c r="D48">
        <v>22699</v>
      </c>
    </row>
    <row r="49" spans="1:4" x14ac:dyDescent="0.3">
      <c r="A49" s="1">
        <v>45996</v>
      </c>
      <c r="B49" t="s">
        <v>4</v>
      </c>
      <c r="C49">
        <v>3653</v>
      </c>
      <c r="D49">
        <v>47373</v>
      </c>
    </row>
    <row r="50" spans="1:4" x14ac:dyDescent="0.3">
      <c r="A50" s="1">
        <v>45947</v>
      </c>
      <c r="B50" t="s">
        <v>6</v>
      </c>
      <c r="C50">
        <v>8029</v>
      </c>
      <c r="D50">
        <v>6847</v>
      </c>
    </row>
    <row r="51" spans="1:4" x14ac:dyDescent="0.3">
      <c r="A51" s="1">
        <v>45746</v>
      </c>
      <c r="B51" t="s">
        <v>4</v>
      </c>
      <c r="C51">
        <v>4609</v>
      </c>
      <c r="D51">
        <v>32771</v>
      </c>
    </row>
    <row r="52" spans="1:4" x14ac:dyDescent="0.3">
      <c r="A52" s="1">
        <v>46014</v>
      </c>
      <c r="B52" t="s">
        <v>6</v>
      </c>
      <c r="C52">
        <v>7547</v>
      </c>
      <c r="D52">
        <v>49640</v>
      </c>
    </row>
    <row r="53" spans="1:4" x14ac:dyDescent="0.3">
      <c r="A53" s="1">
        <v>45849</v>
      </c>
      <c r="B53" t="s">
        <v>5</v>
      </c>
      <c r="C53">
        <v>4136</v>
      </c>
      <c r="D53">
        <v>34661</v>
      </c>
    </row>
    <row r="54" spans="1:4" x14ac:dyDescent="0.3">
      <c r="A54" s="1">
        <v>46085</v>
      </c>
      <c r="B54" t="s">
        <v>5</v>
      </c>
      <c r="C54">
        <v>3002</v>
      </c>
      <c r="D54">
        <v>28322</v>
      </c>
    </row>
    <row r="55" spans="1:4" x14ac:dyDescent="0.3">
      <c r="A55" s="1">
        <v>45963</v>
      </c>
      <c r="B55" t="s">
        <v>4</v>
      </c>
      <c r="C55">
        <v>2880</v>
      </c>
      <c r="D55">
        <v>32579</v>
      </c>
    </row>
    <row r="56" spans="1:4" x14ac:dyDescent="0.3">
      <c r="A56" s="1">
        <v>45776</v>
      </c>
      <c r="B56" t="s">
        <v>4</v>
      </c>
      <c r="C56">
        <v>6216</v>
      </c>
      <c r="D56">
        <v>17548</v>
      </c>
    </row>
    <row r="57" spans="1:4" x14ac:dyDescent="0.3">
      <c r="A57" s="1">
        <v>45747</v>
      </c>
      <c r="B57" t="s">
        <v>5</v>
      </c>
      <c r="C57">
        <v>2563</v>
      </c>
      <c r="D57">
        <v>18350</v>
      </c>
    </row>
    <row r="58" spans="1:4" x14ac:dyDescent="0.3">
      <c r="A58" s="1">
        <v>45765</v>
      </c>
      <c r="B58" t="s">
        <v>5</v>
      </c>
      <c r="C58">
        <v>9928</v>
      </c>
      <c r="D58">
        <v>25761</v>
      </c>
    </row>
    <row r="59" spans="1:4" x14ac:dyDescent="0.3">
      <c r="A59" s="1">
        <v>45722</v>
      </c>
      <c r="B59" t="s">
        <v>6</v>
      </c>
      <c r="C59">
        <v>8026</v>
      </c>
      <c r="D59">
        <v>28996</v>
      </c>
    </row>
    <row r="60" spans="1:4" x14ac:dyDescent="0.3">
      <c r="A60" s="1">
        <v>45722</v>
      </c>
      <c r="B60" t="s">
        <v>6</v>
      </c>
      <c r="C60">
        <v>9266</v>
      </c>
      <c r="D60">
        <v>34131</v>
      </c>
    </row>
    <row r="61" spans="1:4" x14ac:dyDescent="0.3">
      <c r="A61" s="1">
        <v>45829</v>
      </c>
      <c r="B61" t="s">
        <v>6</v>
      </c>
      <c r="C61">
        <v>8544</v>
      </c>
      <c r="D61">
        <v>20475</v>
      </c>
    </row>
    <row r="62" spans="1:4" x14ac:dyDescent="0.3">
      <c r="A62" s="1">
        <v>45893</v>
      </c>
      <c r="B62" t="s">
        <v>6</v>
      </c>
      <c r="C62">
        <v>7858</v>
      </c>
      <c r="D62">
        <v>40014</v>
      </c>
    </row>
    <row r="63" spans="1:4" x14ac:dyDescent="0.3">
      <c r="A63" s="1">
        <v>45671</v>
      </c>
      <c r="B63" t="s">
        <v>4</v>
      </c>
      <c r="C63">
        <v>9156</v>
      </c>
      <c r="D63">
        <v>47485</v>
      </c>
    </row>
    <row r="64" spans="1:4" x14ac:dyDescent="0.3">
      <c r="A64" s="1">
        <v>46109</v>
      </c>
      <c r="B64" t="s">
        <v>5</v>
      </c>
      <c r="C64">
        <v>3799</v>
      </c>
      <c r="D64">
        <v>21014</v>
      </c>
    </row>
    <row r="65" spans="1:4" x14ac:dyDescent="0.3">
      <c r="A65" s="1">
        <v>46112</v>
      </c>
      <c r="B65" t="s">
        <v>5</v>
      </c>
      <c r="C65">
        <v>7553</v>
      </c>
      <c r="D65">
        <v>35906</v>
      </c>
    </row>
    <row r="66" spans="1:4" x14ac:dyDescent="0.3">
      <c r="A66" s="1">
        <v>45805</v>
      </c>
      <c r="B66" t="s">
        <v>4</v>
      </c>
      <c r="C66">
        <v>9850</v>
      </c>
      <c r="D66">
        <v>8626</v>
      </c>
    </row>
    <row r="67" spans="1:4" x14ac:dyDescent="0.3">
      <c r="A67" s="1">
        <v>46102</v>
      </c>
      <c r="B67" t="s">
        <v>4</v>
      </c>
      <c r="C67">
        <v>1910</v>
      </c>
      <c r="D67">
        <v>49795</v>
      </c>
    </row>
    <row r="68" spans="1:4" x14ac:dyDescent="0.3">
      <c r="A68" s="1">
        <v>45868</v>
      </c>
      <c r="B68" t="s">
        <v>4</v>
      </c>
      <c r="C68">
        <v>6401</v>
      </c>
      <c r="D68">
        <v>9916</v>
      </c>
    </row>
    <row r="69" spans="1:4" x14ac:dyDescent="0.3">
      <c r="A69" s="1">
        <v>45923</v>
      </c>
      <c r="B69" t="s">
        <v>4</v>
      </c>
      <c r="C69">
        <v>9605</v>
      </c>
      <c r="D69">
        <v>38541</v>
      </c>
    </row>
    <row r="70" spans="1:4" x14ac:dyDescent="0.3">
      <c r="A70" s="1">
        <v>46131</v>
      </c>
      <c r="B70" t="s">
        <v>5</v>
      </c>
      <c r="C70">
        <v>7357</v>
      </c>
      <c r="D70">
        <v>44903</v>
      </c>
    </row>
    <row r="71" spans="1:4" x14ac:dyDescent="0.3">
      <c r="A71" s="1">
        <v>45795</v>
      </c>
      <c r="B71" t="s">
        <v>5</v>
      </c>
      <c r="C71">
        <v>6487</v>
      </c>
      <c r="D71">
        <v>13644</v>
      </c>
    </row>
    <row r="72" spans="1:4" x14ac:dyDescent="0.3">
      <c r="A72" s="1">
        <v>46055</v>
      </c>
      <c r="B72" t="s">
        <v>5</v>
      </c>
      <c r="C72">
        <v>8921</v>
      </c>
      <c r="D72">
        <v>43037</v>
      </c>
    </row>
    <row r="73" spans="1:4" x14ac:dyDescent="0.3">
      <c r="A73" s="1">
        <v>45933</v>
      </c>
      <c r="B73" t="s">
        <v>4</v>
      </c>
      <c r="C73">
        <v>8759</v>
      </c>
      <c r="D73">
        <v>18286</v>
      </c>
    </row>
    <row r="74" spans="1:4" x14ac:dyDescent="0.3">
      <c r="A74" s="1">
        <v>45984</v>
      </c>
      <c r="B74" t="s">
        <v>6</v>
      </c>
      <c r="C74">
        <v>8935</v>
      </c>
      <c r="D74">
        <v>13057</v>
      </c>
    </row>
    <row r="75" spans="1:4" x14ac:dyDescent="0.3">
      <c r="A75" s="1">
        <v>46064</v>
      </c>
      <c r="B75" t="s">
        <v>6</v>
      </c>
      <c r="C75">
        <v>4678</v>
      </c>
      <c r="D75">
        <v>32522</v>
      </c>
    </row>
    <row r="76" spans="1:4" x14ac:dyDescent="0.3">
      <c r="A76" s="1">
        <v>46026</v>
      </c>
      <c r="B76" t="s">
        <v>5</v>
      </c>
      <c r="C76">
        <v>6745</v>
      </c>
      <c r="D76">
        <v>43966</v>
      </c>
    </row>
    <row r="77" spans="1:4" x14ac:dyDescent="0.3">
      <c r="A77" s="1">
        <v>45715</v>
      </c>
      <c r="B77" t="s">
        <v>4</v>
      </c>
      <c r="C77">
        <v>7486</v>
      </c>
      <c r="D77">
        <v>5396</v>
      </c>
    </row>
    <row r="78" spans="1:4" x14ac:dyDescent="0.3">
      <c r="A78" s="1">
        <v>45740</v>
      </c>
      <c r="B78" t="s">
        <v>4</v>
      </c>
      <c r="C78">
        <v>9984</v>
      </c>
      <c r="D78">
        <v>24196</v>
      </c>
    </row>
    <row r="79" spans="1:4" x14ac:dyDescent="0.3">
      <c r="A79" s="1">
        <v>45745</v>
      </c>
      <c r="B79" t="s">
        <v>5</v>
      </c>
      <c r="C79">
        <v>1041</v>
      </c>
      <c r="D79">
        <v>13088</v>
      </c>
    </row>
    <row r="80" spans="1:4" x14ac:dyDescent="0.3">
      <c r="A80" s="1">
        <v>46117</v>
      </c>
      <c r="B80" t="s">
        <v>6</v>
      </c>
      <c r="C80">
        <v>6149</v>
      </c>
      <c r="D80">
        <v>19181</v>
      </c>
    </row>
    <row r="81" spans="1:4" x14ac:dyDescent="0.3">
      <c r="A81" s="1">
        <v>45742</v>
      </c>
      <c r="B81" t="s">
        <v>6</v>
      </c>
      <c r="C81">
        <v>2016</v>
      </c>
      <c r="D81">
        <v>7819</v>
      </c>
    </row>
    <row r="82" spans="1:4" x14ac:dyDescent="0.3">
      <c r="A82" s="1">
        <v>46141</v>
      </c>
      <c r="B82" t="s">
        <v>4</v>
      </c>
      <c r="C82">
        <v>2724</v>
      </c>
      <c r="D82">
        <v>23240</v>
      </c>
    </row>
    <row r="83" spans="1:4" x14ac:dyDescent="0.3">
      <c r="A83" s="1">
        <v>46015</v>
      </c>
      <c r="B83" t="s">
        <v>4</v>
      </c>
      <c r="C83">
        <v>3863</v>
      </c>
      <c r="D83">
        <v>45272</v>
      </c>
    </row>
    <row r="84" spans="1:4" x14ac:dyDescent="0.3">
      <c r="A84" s="1">
        <v>46119</v>
      </c>
      <c r="B84" t="s">
        <v>5</v>
      </c>
      <c r="C84">
        <v>4373</v>
      </c>
      <c r="D84">
        <v>17074</v>
      </c>
    </row>
    <row r="85" spans="1:4" x14ac:dyDescent="0.3">
      <c r="A85" s="1">
        <v>46040</v>
      </c>
      <c r="B85" t="s">
        <v>6</v>
      </c>
      <c r="C85">
        <v>2756</v>
      </c>
      <c r="D85">
        <v>42136</v>
      </c>
    </row>
    <row r="86" spans="1:4" x14ac:dyDescent="0.3">
      <c r="A86" s="1">
        <v>45734</v>
      </c>
      <c r="B86" t="s">
        <v>6</v>
      </c>
      <c r="C86">
        <v>1438</v>
      </c>
      <c r="D86">
        <v>37549</v>
      </c>
    </row>
    <row r="87" spans="1:4" x14ac:dyDescent="0.3">
      <c r="A87" s="1">
        <v>46128</v>
      </c>
      <c r="B87" t="s">
        <v>4</v>
      </c>
      <c r="C87">
        <v>9871</v>
      </c>
      <c r="D87">
        <v>48489</v>
      </c>
    </row>
    <row r="88" spans="1:4" x14ac:dyDescent="0.3">
      <c r="A88" s="1">
        <v>46057</v>
      </c>
      <c r="B88" t="s">
        <v>5</v>
      </c>
      <c r="C88">
        <v>6518</v>
      </c>
      <c r="D88">
        <v>8957</v>
      </c>
    </row>
    <row r="89" spans="1:4" x14ac:dyDescent="0.3">
      <c r="A89" s="1">
        <v>45843</v>
      </c>
      <c r="B89" t="s">
        <v>6</v>
      </c>
      <c r="C89">
        <v>8354</v>
      </c>
      <c r="D89">
        <v>12450</v>
      </c>
    </row>
    <row r="90" spans="1:4" x14ac:dyDescent="0.3">
      <c r="A90" s="1">
        <v>46022</v>
      </c>
      <c r="B90" t="s">
        <v>5</v>
      </c>
      <c r="C90">
        <v>7724</v>
      </c>
      <c r="D90">
        <v>23020</v>
      </c>
    </row>
    <row r="91" spans="1:4" x14ac:dyDescent="0.3">
      <c r="A91" s="1">
        <v>46055</v>
      </c>
      <c r="B91" t="s">
        <v>4</v>
      </c>
      <c r="C91">
        <v>1444</v>
      </c>
      <c r="D91">
        <v>31984</v>
      </c>
    </row>
    <row r="92" spans="1:4" x14ac:dyDescent="0.3">
      <c r="A92" s="1">
        <v>45818</v>
      </c>
      <c r="B92" t="s">
        <v>4</v>
      </c>
      <c r="C92">
        <v>7293</v>
      </c>
      <c r="D92">
        <v>49610</v>
      </c>
    </row>
    <row r="93" spans="1:4" x14ac:dyDescent="0.3">
      <c r="A93" s="1">
        <v>45893</v>
      </c>
      <c r="B93" t="s">
        <v>4</v>
      </c>
      <c r="C93">
        <v>7656</v>
      </c>
      <c r="D93">
        <v>21542</v>
      </c>
    </row>
    <row r="94" spans="1:4" x14ac:dyDescent="0.3">
      <c r="A94" s="1">
        <v>45773</v>
      </c>
      <c r="B94" t="s">
        <v>6</v>
      </c>
      <c r="C94">
        <v>9368</v>
      </c>
      <c r="D94">
        <v>34712</v>
      </c>
    </row>
    <row r="95" spans="1:4" x14ac:dyDescent="0.3">
      <c r="A95" s="1">
        <v>46055</v>
      </c>
      <c r="B95" t="s">
        <v>5</v>
      </c>
      <c r="C95">
        <v>4429</v>
      </c>
      <c r="D95">
        <v>42270</v>
      </c>
    </row>
    <row r="96" spans="1:4" x14ac:dyDescent="0.3">
      <c r="A96" s="1">
        <v>46027</v>
      </c>
      <c r="B96" t="s">
        <v>5</v>
      </c>
      <c r="C96">
        <v>7565</v>
      </c>
      <c r="D96">
        <v>31651</v>
      </c>
    </row>
    <row r="97" spans="1:4" x14ac:dyDescent="0.3">
      <c r="A97" s="1">
        <v>45695</v>
      </c>
      <c r="B97" t="s">
        <v>4</v>
      </c>
      <c r="C97">
        <v>9985</v>
      </c>
      <c r="D97">
        <v>39828</v>
      </c>
    </row>
    <row r="98" spans="1:4" x14ac:dyDescent="0.3">
      <c r="A98" s="1">
        <v>45725</v>
      </c>
      <c r="B98" t="s">
        <v>6</v>
      </c>
      <c r="C98">
        <v>7936</v>
      </c>
      <c r="D98">
        <v>39265</v>
      </c>
    </row>
    <row r="99" spans="1:4" x14ac:dyDescent="0.3">
      <c r="A99" s="1">
        <v>46074</v>
      </c>
      <c r="B99" t="s">
        <v>5</v>
      </c>
      <c r="C99">
        <v>6268</v>
      </c>
      <c r="D99">
        <v>11347</v>
      </c>
    </row>
    <row r="100" spans="1:4" x14ac:dyDescent="0.3">
      <c r="A100" s="1">
        <v>45853</v>
      </c>
      <c r="B100" t="s">
        <v>4</v>
      </c>
      <c r="C100">
        <v>3908</v>
      </c>
      <c r="D100">
        <v>25742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A59D-04D9-4A3C-8893-1CF6EC8A5B15}">
  <dimension ref="A3:C7"/>
  <sheetViews>
    <sheetView zoomScale="124" workbookViewId="0">
      <selection activeCell="B9" sqref="B9"/>
    </sheetView>
  </sheetViews>
  <sheetFormatPr defaultRowHeight="14.4" x14ac:dyDescent="0.3"/>
  <cols>
    <col min="1" max="1" width="12.5546875" bestFit="1" customWidth="1"/>
    <col min="2" max="2" width="8.33203125" bestFit="1" customWidth="1"/>
    <col min="3" max="3" width="14.109375" bestFit="1" customWidth="1"/>
  </cols>
  <sheetData>
    <row r="3" spans="1:3" x14ac:dyDescent="0.3">
      <c r="A3" s="2" t="s">
        <v>7</v>
      </c>
      <c r="B3" t="s">
        <v>21</v>
      </c>
      <c r="C3" t="s">
        <v>22</v>
      </c>
    </row>
    <row r="4" spans="1:3" x14ac:dyDescent="0.3">
      <c r="A4" s="3" t="s">
        <v>5</v>
      </c>
      <c r="B4">
        <v>180103</v>
      </c>
      <c r="C4">
        <v>891154</v>
      </c>
    </row>
    <row r="5" spans="1:3" x14ac:dyDescent="0.3">
      <c r="A5" s="3" t="s">
        <v>4</v>
      </c>
      <c r="B5">
        <v>234541</v>
      </c>
      <c r="C5">
        <v>1113717</v>
      </c>
    </row>
    <row r="6" spans="1:3" x14ac:dyDescent="0.3">
      <c r="A6" s="3" t="s">
        <v>6</v>
      </c>
      <c r="B6">
        <v>187680</v>
      </c>
      <c r="C6">
        <v>755825</v>
      </c>
    </row>
    <row r="7" spans="1:3" x14ac:dyDescent="0.3">
      <c r="A7" s="3" t="s">
        <v>8</v>
      </c>
      <c r="B7">
        <v>602324</v>
      </c>
      <c r="C7">
        <v>2760696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E991-06E2-4396-AC3D-DF20EBE6B162}">
  <dimension ref="A3:C18"/>
  <sheetViews>
    <sheetView zoomScale="82" workbookViewId="0">
      <selection activeCell="B19" sqref="B18:C19"/>
    </sheetView>
  </sheetViews>
  <sheetFormatPr defaultRowHeight="14.4" x14ac:dyDescent="0.3"/>
  <cols>
    <col min="1" max="1" width="18" bestFit="1" customWidth="1"/>
    <col min="2" max="2" width="12" bestFit="1" customWidth="1"/>
    <col min="3" max="3" width="19.44140625" bestFit="1" customWidth="1"/>
  </cols>
  <sheetData>
    <row r="3" spans="1:3" x14ac:dyDescent="0.3">
      <c r="A3" s="2" t="s">
        <v>7</v>
      </c>
      <c r="B3" t="s">
        <v>21</v>
      </c>
      <c r="C3" t="s">
        <v>22</v>
      </c>
    </row>
    <row r="4" spans="1:3" x14ac:dyDescent="0.3">
      <c r="A4" s="3" t="s">
        <v>9</v>
      </c>
      <c r="B4">
        <v>70234</v>
      </c>
      <c r="C4">
        <v>418409</v>
      </c>
    </row>
    <row r="5" spans="1:3" x14ac:dyDescent="0.3">
      <c r="A5" s="3" t="s">
        <v>10</v>
      </c>
      <c r="B5">
        <v>72419</v>
      </c>
      <c r="C5">
        <v>316325</v>
      </c>
    </row>
    <row r="6" spans="1:3" x14ac:dyDescent="0.3">
      <c r="A6" s="3" t="s">
        <v>11</v>
      </c>
      <c r="B6">
        <v>84005</v>
      </c>
      <c r="C6">
        <v>517521</v>
      </c>
    </row>
    <row r="7" spans="1:3" x14ac:dyDescent="0.3">
      <c r="A7" s="3" t="s">
        <v>12</v>
      </c>
      <c r="B7">
        <v>86288</v>
      </c>
      <c r="C7">
        <v>309701</v>
      </c>
    </row>
    <row r="8" spans="1:3" x14ac:dyDescent="0.3">
      <c r="A8" s="3" t="s">
        <v>13</v>
      </c>
      <c r="B8">
        <v>28102</v>
      </c>
      <c r="C8">
        <v>102441</v>
      </c>
    </row>
    <row r="9" spans="1:3" x14ac:dyDescent="0.3">
      <c r="A9" s="3" t="s">
        <v>14</v>
      </c>
      <c r="B9">
        <v>38496</v>
      </c>
      <c r="C9">
        <v>137994</v>
      </c>
    </row>
    <row r="10" spans="1:3" x14ac:dyDescent="0.3">
      <c r="A10" s="3" t="s">
        <v>15</v>
      </c>
      <c r="B10">
        <v>44008</v>
      </c>
      <c r="C10">
        <v>152815</v>
      </c>
    </row>
    <row r="11" spans="1:3" x14ac:dyDescent="0.3">
      <c r="A11" s="3" t="s">
        <v>16</v>
      </c>
      <c r="B11">
        <v>17299</v>
      </c>
      <c r="C11">
        <v>94618</v>
      </c>
    </row>
    <row r="12" spans="1:3" x14ac:dyDescent="0.3">
      <c r="A12" s="3" t="s">
        <v>17</v>
      </c>
      <c r="B12">
        <v>17219</v>
      </c>
      <c r="C12">
        <v>90468</v>
      </c>
    </row>
    <row r="13" spans="1:3" x14ac:dyDescent="0.3">
      <c r="A13" s="3" t="s">
        <v>18</v>
      </c>
      <c r="B13">
        <v>69078</v>
      </c>
      <c r="C13">
        <v>238108</v>
      </c>
    </row>
    <row r="14" spans="1:3" x14ac:dyDescent="0.3">
      <c r="A14" s="3" t="s">
        <v>19</v>
      </c>
      <c r="B14">
        <v>30723</v>
      </c>
      <c r="C14">
        <v>116730</v>
      </c>
    </row>
    <row r="15" spans="1:3" x14ac:dyDescent="0.3">
      <c r="A15" s="3" t="s">
        <v>20</v>
      </c>
      <c r="B15">
        <v>44453</v>
      </c>
      <c r="C15">
        <v>265566</v>
      </c>
    </row>
    <row r="16" spans="1:3" x14ac:dyDescent="0.3">
      <c r="A16" s="3" t="s">
        <v>8</v>
      </c>
      <c r="B16">
        <v>602324</v>
      </c>
      <c r="C16">
        <v>2760696</v>
      </c>
    </row>
    <row r="18" spans="2:3" x14ac:dyDescent="0.3">
      <c r="B18" s="5"/>
      <c r="C18" s="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D43F-0409-4A68-8F2D-8DD0EDA2C0AB}">
  <dimension ref="A1"/>
  <sheetViews>
    <sheetView showGridLines="0" showRowColHeaders="0" tabSelected="1" zoomScale="82" workbookViewId="0">
      <selection activeCell="S15" sqref="S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Investment_raw_data</vt:lpstr>
      <vt:lpstr>Region_Bar</vt:lpstr>
      <vt:lpstr>Monthly_Line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Anakha Fobbin</dc:creator>
  <cp:lastModifiedBy>Anakha Fobbin</cp:lastModifiedBy>
  <dcterms:created xsi:type="dcterms:W3CDTF">2026-04-29T12:48:26Z</dcterms:created>
  <dcterms:modified xsi:type="dcterms:W3CDTF">2026-05-01T08:14:47Z</dcterms:modified>
</cp:coreProperties>
</file>